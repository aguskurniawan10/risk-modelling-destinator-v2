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us.kurniawan\Desktop\Risk Based PLN 2026\Destinator\"/>
    </mc:Choice>
  </mc:AlternateContent>
  <xr:revisionPtr revIDLastSave="0" documentId="13_ncr:1_{898A3A3F-FF59-436B-8479-EFA77D233E0A}" xr6:coauthVersionLast="47" xr6:coauthVersionMax="47" xr10:uidLastSave="{00000000-0000-0000-0000-000000000000}"/>
  <bookViews>
    <workbookView xWindow="-120" yWindow="-120" windowWidth="29040" windowHeight="15720" xr2:uid="{83682BF6-0D70-409E-B5BF-96C405D882E7}"/>
  </bookViews>
  <sheets>
    <sheet name="data harian operasi (HOP) BB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37" i="1" l="1"/>
  <c r="AG136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<sst xmlns="http://schemas.openxmlformats.org/spreadsheetml/2006/main" count="172" uniqueCount="15">
  <si>
    <t>Update Selisih HOP dan Stock Coalyard (OP / Inventory)</t>
  </si>
  <si>
    <t>Hari Tanggal</t>
  </si>
  <si>
    <t>HOP FULL LOAD</t>
  </si>
  <si>
    <t>INVENTORY</t>
  </si>
  <si>
    <t>CHCR</t>
  </si>
  <si>
    <t>Selisih Hop</t>
  </si>
  <si>
    <t>TONASE</t>
  </si>
  <si>
    <t>Selisih Stock</t>
  </si>
  <si>
    <t>INVENTORY
(Pembagi 13500 MT)</t>
  </si>
  <si>
    <t>CHCR
(Pembagi 13500 MT)</t>
  </si>
  <si>
    <t>Bln/ Thn</t>
  </si>
  <si>
    <t>Update Selisih stock BB minggu ke - 1</t>
  </si>
  <si>
    <t>Update Selisih stock BB minggu ke - 2</t>
  </si>
  <si>
    <t xml:space="preserve">Update Selisih stock BB minggu ke - 3 </t>
  </si>
  <si>
    <t xml:space="preserve">Update Selisih stock BB minggu ke - 4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</si>
</sst>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dd/mm/yyyy"/>
  </numFmts>
  <fonts count="9" x14ac:knownFonts="1"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3" fillId="2" borderId="0" xfId="0" applyFont="1" applyFill="1"/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165" fontId="4" fillId="4" borderId="0" xfId="0" applyNumberFormat="1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4" fontId="5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0" borderId="4" xfId="0" applyFont="1" applyBorder="1"/>
    <xf numFmtId="0" fontId="5" fillId="6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3" fontId="5" fillId="8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Agustus 2024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33233"/>
        <c:axId val="1928946223"/>
      </c:lineChart>
      <c:catAx>
        <c:axId val="114033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8946223"/>
        <c:crosses val="autoZero"/>
        <c:auto val="1"/>
        <c:lblAlgn val="ctr"/>
        <c:lblOffset val="100"/>
        <c:noMultiLvlLbl val="1"/>
      </c:catAx>
      <c:valAx>
        <c:axId val="192894622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40332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September 2024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972091"/>
        <c:axId val="1667683888"/>
      </c:lineChart>
      <c:catAx>
        <c:axId val="682972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7683888"/>
        <c:crosses val="autoZero"/>
        <c:auto val="1"/>
        <c:lblAlgn val="ctr"/>
        <c:lblOffset val="100"/>
        <c:noMultiLvlLbl val="1"/>
      </c:catAx>
      <c:valAx>
        <c:axId val="166768388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829720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Oktober 2024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311974"/>
        <c:axId val="1974382122"/>
      </c:lineChart>
      <c:catAx>
        <c:axId val="1425311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82122"/>
        <c:crosses val="autoZero"/>
        <c:auto val="1"/>
        <c:lblAlgn val="ctr"/>
        <c:lblOffset val="100"/>
        <c:noMultiLvlLbl val="1"/>
      </c:catAx>
      <c:valAx>
        <c:axId val="197438212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53119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November 2024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075618"/>
        <c:axId val="1230017500"/>
      </c:lineChart>
      <c:catAx>
        <c:axId val="1822075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0017500"/>
        <c:crosses val="autoZero"/>
        <c:auto val="1"/>
        <c:lblAlgn val="ctr"/>
        <c:lblOffset val="100"/>
        <c:noMultiLvlLbl val="1"/>
      </c:catAx>
      <c:valAx>
        <c:axId val="123001750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220756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Desember 2024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020873"/>
        <c:axId val="1097215313"/>
      </c:lineChart>
      <c:catAx>
        <c:axId val="1916020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7215313"/>
        <c:crosses val="autoZero"/>
        <c:auto val="1"/>
        <c:lblAlgn val="ctr"/>
        <c:lblOffset val="100"/>
        <c:noMultiLvlLbl val="1"/>
      </c:catAx>
      <c:valAx>
        <c:axId val="109721531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160208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Januari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BB'!$C$105:$AG$105</c:f>
              <c:numCache>
                <c:formatCode>dd/mm/yyyy</c:formatCode>
                <c:ptCount val="31"/>
                <c:pt idx="0">
                  <c:v>45657</c:v>
                </c:pt>
                <c:pt idx="1">
                  <c:v>45658</c:v>
                </c:pt>
                <c:pt idx="2">
                  <c:v>45659</c:v>
                </c:pt>
                <c:pt idx="3">
                  <c:v>45660</c:v>
                </c:pt>
                <c:pt idx="4">
                  <c:v>45661</c:v>
                </c:pt>
                <c:pt idx="5">
                  <c:v>45662</c:v>
                </c:pt>
                <c:pt idx="6">
                  <c:v>45663</c:v>
                </c:pt>
                <c:pt idx="7">
                  <c:v>45664</c:v>
                </c:pt>
                <c:pt idx="8">
                  <c:v>45665</c:v>
                </c:pt>
                <c:pt idx="9">
                  <c:v>45666</c:v>
                </c:pt>
                <c:pt idx="10">
                  <c:v>45667</c:v>
                </c:pt>
                <c:pt idx="11">
                  <c:v>45668</c:v>
                </c:pt>
                <c:pt idx="12">
                  <c:v>45669</c:v>
                </c:pt>
                <c:pt idx="13">
                  <c:v>45670</c:v>
                </c:pt>
                <c:pt idx="14">
                  <c:v>45671</c:v>
                </c:pt>
                <c:pt idx="15">
                  <c:v>45672</c:v>
                </c:pt>
                <c:pt idx="16">
                  <c:v>45673</c:v>
                </c:pt>
                <c:pt idx="17">
                  <c:v>45674</c:v>
                </c:pt>
                <c:pt idx="18">
                  <c:v>45675</c:v>
                </c:pt>
                <c:pt idx="19">
                  <c:v>45676</c:v>
                </c:pt>
                <c:pt idx="20">
                  <c:v>45677</c:v>
                </c:pt>
                <c:pt idx="21">
                  <c:v>45678</c:v>
                </c:pt>
                <c:pt idx="22">
                  <c:v>45679</c:v>
                </c:pt>
                <c:pt idx="23">
                  <c:v>45680</c:v>
                </c:pt>
                <c:pt idx="24">
                  <c:v>45681</c:v>
                </c:pt>
                <c:pt idx="25">
                  <c:v>45682</c:v>
                </c:pt>
                <c:pt idx="26">
                  <c:v>45683</c:v>
                </c:pt>
                <c:pt idx="27">
                  <c:v>45684</c:v>
                </c:pt>
                <c:pt idx="28">
                  <c:v>45685</c:v>
                </c:pt>
                <c:pt idx="29">
                  <c:v>45686</c:v>
                </c:pt>
                <c:pt idx="30">
                  <c:v>45687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600-4A46-AA22-A491DBE5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900674"/>
        <c:axId val="189830481"/>
      </c:lineChart>
      <c:dateAx>
        <c:axId val="326900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830481"/>
        <c:crosses val="autoZero"/>
        <c:auto val="1"/>
        <c:lblOffset val="100"/>
        <c:baseTimeUnit val="days"/>
      </c:dateAx>
      <c:valAx>
        <c:axId val="189830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9006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Februari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BB'!$C$111:$AG$111</c:f>
              <c:numCache>
                <c:formatCode>dd/mm/yyyy</c:formatCode>
                <c:ptCount val="31"/>
                <c:pt idx="0">
                  <c:v>45688</c:v>
                </c:pt>
                <c:pt idx="1">
                  <c:v>45689</c:v>
                </c:pt>
                <c:pt idx="2">
                  <c:v>45690</c:v>
                </c:pt>
                <c:pt idx="3">
                  <c:v>45691</c:v>
                </c:pt>
                <c:pt idx="4">
                  <c:v>45692</c:v>
                </c:pt>
                <c:pt idx="5">
                  <c:v>45693</c:v>
                </c:pt>
                <c:pt idx="6">
                  <c:v>45694</c:v>
                </c:pt>
                <c:pt idx="7">
                  <c:v>45695</c:v>
                </c:pt>
                <c:pt idx="8">
                  <c:v>45696</c:v>
                </c:pt>
                <c:pt idx="9">
                  <c:v>45697</c:v>
                </c:pt>
                <c:pt idx="10">
                  <c:v>45698</c:v>
                </c:pt>
                <c:pt idx="11">
                  <c:v>45699</c:v>
                </c:pt>
                <c:pt idx="12">
                  <c:v>45700</c:v>
                </c:pt>
                <c:pt idx="13">
                  <c:v>45701</c:v>
                </c:pt>
                <c:pt idx="14">
                  <c:v>45702</c:v>
                </c:pt>
                <c:pt idx="15">
                  <c:v>45703</c:v>
                </c:pt>
                <c:pt idx="16">
                  <c:v>45704</c:v>
                </c:pt>
                <c:pt idx="17">
                  <c:v>45705</c:v>
                </c:pt>
                <c:pt idx="18">
                  <c:v>45706</c:v>
                </c:pt>
                <c:pt idx="19">
                  <c:v>45707</c:v>
                </c:pt>
                <c:pt idx="20">
                  <c:v>45708</c:v>
                </c:pt>
                <c:pt idx="21">
                  <c:v>45709</c:v>
                </c:pt>
                <c:pt idx="22">
                  <c:v>45710</c:v>
                </c:pt>
                <c:pt idx="23">
                  <c:v>45711</c:v>
                </c:pt>
                <c:pt idx="24">
                  <c:v>45712</c:v>
                </c:pt>
                <c:pt idx="25">
                  <c:v>45713</c:v>
                </c:pt>
                <c:pt idx="26">
                  <c:v>45714</c:v>
                </c:pt>
                <c:pt idx="27">
                  <c:v>45715</c:v>
                </c:pt>
                <c:pt idx="28">
                  <c:v>45716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4A6-4325-8050-8D939AD2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046356"/>
        <c:axId val="2050881017"/>
      </c:lineChart>
      <c:dateAx>
        <c:axId val="742046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0881017"/>
        <c:crosses val="autoZero"/>
        <c:auto val="1"/>
        <c:lblOffset val="100"/>
        <c:baseTimeUnit val="days"/>
      </c:dateAx>
      <c:valAx>
        <c:axId val="2050881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20463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Maret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BB'!$C$117:$AG$117</c:f>
              <c:numCache>
                <c:formatCode>dd/mm/yyyy</c:formatCode>
                <c:ptCount val="31"/>
                <c:pt idx="0">
                  <c:v>45716</c:v>
                </c:pt>
                <c:pt idx="1">
                  <c:v>45717</c:v>
                </c:pt>
                <c:pt idx="2">
                  <c:v>45718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45724</c:v>
                </c:pt>
                <c:pt idx="9">
                  <c:v>45725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45731</c:v>
                </c:pt>
                <c:pt idx="16">
                  <c:v>45732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45738</c:v>
                </c:pt>
                <c:pt idx="23">
                  <c:v>45739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45745</c:v>
                </c:pt>
                <c:pt idx="30">
                  <c:v>45746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C04-4511-82FD-9AF00E1C1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306642"/>
        <c:axId val="922642791"/>
      </c:lineChart>
      <c:dateAx>
        <c:axId val="1944306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2642791"/>
        <c:crosses val="autoZero"/>
        <c:auto val="1"/>
        <c:lblOffset val="100"/>
        <c:baseTimeUnit val="days"/>
      </c:dateAx>
      <c:valAx>
        <c:axId val="922642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43066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April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BB'!$C$123:$AG$123</c:f>
              <c:numCache>
                <c:formatCode>dd/mm/yyyy</c:formatCode>
                <c:ptCount val="31"/>
                <c:pt idx="0">
                  <c:v>45747</c:v>
                </c:pt>
                <c:pt idx="1">
                  <c:v>45748</c:v>
                </c:pt>
                <c:pt idx="2">
                  <c:v>45749</c:v>
                </c:pt>
                <c:pt idx="3">
                  <c:v>45750</c:v>
                </c:pt>
                <c:pt idx="4">
                  <c:v>45751</c:v>
                </c:pt>
                <c:pt idx="5">
                  <c:v>45752</c:v>
                </c:pt>
                <c:pt idx="6">
                  <c:v>45753</c:v>
                </c:pt>
                <c:pt idx="7">
                  <c:v>45754</c:v>
                </c:pt>
                <c:pt idx="8">
                  <c:v>45755</c:v>
                </c:pt>
                <c:pt idx="9">
                  <c:v>45756</c:v>
                </c:pt>
                <c:pt idx="10">
                  <c:v>45757</c:v>
                </c:pt>
                <c:pt idx="11">
                  <c:v>45758</c:v>
                </c:pt>
                <c:pt idx="12">
                  <c:v>45759</c:v>
                </c:pt>
                <c:pt idx="13">
                  <c:v>45760</c:v>
                </c:pt>
                <c:pt idx="14">
                  <c:v>45761</c:v>
                </c:pt>
                <c:pt idx="15">
                  <c:v>45762</c:v>
                </c:pt>
                <c:pt idx="16">
                  <c:v>45763</c:v>
                </c:pt>
                <c:pt idx="17">
                  <c:v>45764</c:v>
                </c:pt>
                <c:pt idx="18">
                  <c:v>45765</c:v>
                </c:pt>
                <c:pt idx="19">
                  <c:v>45766</c:v>
                </c:pt>
                <c:pt idx="20">
                  <c:v>45767</c:v>
                </c:pt>
                <c:pt idx="21">
                  <c:v>45768</c:v>
                </c:pt>
                <c:pt idx="22">
                  <c:v>45769</c:v>
                </c:pt>
                <c:pt idx="23">
                  <c:v>45770</c:v>
                </c:pt>
                <c:pt idx="24">
                  <c:v>45771</c:v>
                </c:pt>
                <c:pt idx="25">
                  <c:v>45772</c:v>
                </c:pt>
                <c:pt idx="26">
                  <c:v>45773</c:v>
                </c:pt>
                <c:pt idx="27">
                  <c:v>45774</c:v>
                </c:pt>
                <c:pt idx="28">
                  <c:v>45775</c:v>
                </c:pt>
                <c:pt idx="29">
                  <c:v>45776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238-4F5F-BB1D-472B0EDE5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523785"/>
        <c:axId val="1189505239"/>
      </c:lineChart>
      <c:dateAx>
        <c:axId val="978523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9505239"/>
        <c:crosses val="autoZero"/>
        <c:auto val="1"/>
        <c:lblOffset val="100"/>
        <c:baseTimeUnit val="days"/>
      </c:dateAx>
      <c:valAx>
        <c:axId val="1189505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85237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Mei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BB'!$C$129:$AG$129</c:f>
              <c:numCache>
                <c:formatCode>dd/mm/yyyy</c:formatCode>
                <c:ptCount val="31"/>
                <c:pt idx="0">
                  <c:v>45777</c:v>
                </c:pt>
                <c:pt idx="1">
                  <c:v>45778</c:v>
                </c:pt>
                <c:pt idx="2">
                  <c:v>45779</c:v>
                </c:pt>
                <c:pt idx="3">
                  <c:v>45780</c:v>
                </c:pt>
                <c:pt idx="4">
                  <c:v>45781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45787</c:v>
                </c:pt>
                <c:pt idx="11">
                  <c:v>45788</c:v>
                </c:pt>
                <c:pt idx="12">
                  <c:v>45789</c:v>
                </c:pt>
                <c:pt idx="13">
                  <c:v>45790</c:v>
                </c:pt>
                <c:pt idx="14">
                  <c:v>45791</c:v>
                </c:pt>
                <c:pt idx="15">
                  <c:v>45792</c:v>
                </c:pt>
                <c:pt idx="16">
                  <c:v>45793</c:v>
                </c:pt>
                <c:pt idx="17">
                  <c:v>45794</c:v>
                </c:pt>
                <c:pt idx="18">
                  <c:v>45795</c:v>
                </c:pt>
                <c:pt idx="19">
                  <c:v>45796</c:v>
                </c:pt>
                <c:pt idx="20">
                  <c:v>45797</c:v>
                </c:pt>
                <c:pt idx="21">
                  <c:v>45798</c:v>
                </c:pt>
                <c:pt idx="22">
                  <c:v>45799</c:v>
                </c:pt>
                <c:pt idx="23">
                  <c:v>45800</c:v>
                </c:pt>
                <c:pt idx="24">
                  <c:v>45801</c:v>
                </c:pt>
                <c:pt idx="25">
                  <c:v>45802</c:v>
                </c:pt>
                <c:pt idx="26">
                  <c:v>45803</c:v>
                </c:pt>
                <c:pt idx="27">
                  <c:v>45804</c:v>
                </c:pt>
                <c:pt idx="28">
                  <c:v>45805</c:v>
                </c:pt>
                <c:pt idx="29">
                  <c:v>45806</c:v>
                </c:pt>
                <c:pt idx="30">
                  <c:v>45807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BE-44D7-BAD5-78FA6E21E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523834"/>
        <c:axId val="1563383596"/>
      </c:lineChart>
      <c:dateAx>
        <c:axId val="1581523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3383596"/>
        <c:crosses val="autoZero"/>
        <c:auto val="1"/>
        <c:lblOffset val="100"/>
        <c:baseTimeUnit val="days"/>
      </c:dateAx>
      <c:valAx>
        <c:axId val="1563383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15238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Juni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BB'!$C$135:$AG$135</c:f>
              <c:numCache>
                <c:formatCode>dd/mm/yyyy</c:formatCode>
                <c:ptCount val="31"/>
                <c:pt idx="0">
                  <c:v>45808</c:v>
                </c:pt>
                <c:pt idx="1">
                  <c:v>45809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45815</c:v>
                </c:pt>
                <c:pt idx="8">
                  <c:v>45816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45822</c:v>
                </c:pt>
                <c:pt idx="15">
                  <c:v>45823</c:v>
                </c:pt>
                <c:pt idx="16">
                  <c:v>45824</c:v>
                </c:pt>
                <c:pt idx="17">
                  <c:v>45825</c:v>
                </c:pt>
                <c:pt idx="18">
                  <c:v>45826</c:v>
                </c:pt>
                <c:pt idx="19">
                  <c:v>45827</c:v>
                </c:pt>
                <c:pt idx="20">
                  <c:v>45828</c:v>
                </c:pt>
                <c:pt idx="21">
                  <c:v>45829</c:v>
                </c:pt>
                <c:pt idx="22">
                  <c:v>45830</c:v>
                </c:pt>
                <c:pt idx="23">
                  <c:v>45831</c:v>
                </c:pt>
                <c:pt idx="24">
                  <c:v>45832</c:v>
                </c:pt>
                <c:pt idx="25">
                  <c:v>45833</c:v>
                </c:pt>
                <c:pt idx="26">
                  <c:v>45834</c:v>
                </c:pt>
                <c:pt idx="27">
                  <c:v>45835</c:v>
                </c:pt>
                <c:pt idx="28">
                  <c:v>45836</c:v>
                </c:pt>
                <c:pt idx="29">
                  <c:v>45837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EE5-4D62-9292-AB566C0A3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994431"/>
        <c:axId val="1661760308"/>
      </c:lineChart>
      <c:dateAx>
        <c:axId val="78399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1760308"/>
        <c:crosses val="autoZero"/>
        <c:auto val="1"/>
        <c:lblOffset val="100"/>
        <c:baseTimeUnit val="days"/>
      </c:dateAx>
      <c:valAx>
        <c:axId val="166176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39944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Juli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BB'!$C$141:$AG$141</c:f>
              <c:numCache>
                <c:formatCode>dd/mm/yyyy</c:formatCode>
                <c:ptCount val="31"/>
                <c:pt idx="0">
                  <c:v>45838</c:v>
                </c:pt>
                <c:pt idx="1">
                  <c:v>45839</c:v>
                </c:pt>
                <c:pt idx="2">
                  <c:v>45840</c:v>
                </c:pt>
                <c:pt idx="3">
                  <c:v>45841</c:v>
                </c:pt>
                <c:pt idx="4">
                  <c:v>45842</c:v>
                </c:pt>
                <c:pt idx="5">
                  <c:v>45843</c:v>
                </c:pt>
                <c:pt idx="6">
                  <c:v>45844</c:v>
                </c:pt>
                <c:pt idx="7">
                  <c:v>45845</c:v>
                </c:pt>
                <c:pt idx="8">
                  <c:v>45846</c:v>
                </c:pt>
                <c:pt idx="9">
                  <c:v>45847</c:v>
                </c:pt>
                <c:pt idx="10">
                  <c:v>45848</c:v>
                </c:pt>
                <c:pt idx="11">
                  <c:v>45849</c:v>
                </c:pt>
                <c:pt idx="12">
                  <c:v>45850</c:v>
                </c:pt>
                <c:pt idx="13">
                  <c:v>45851</c:v>
                </c:pt>
                <c:pt idx="14">
                  <c:v>45852</c:v>
                </c:pt>
                <c:pt idx="15">
                  <c:v>45853</c:v>
                </c:pt>
                <c:pt idx="16">
                  <c:v>45854</c:v>
                </c:pt>
                <c:pt idx="17">
                  <c:v>45855</c:v>
                </c:pt>
                <c:pt idx="18">
                  <c:v>45856</c:v>
                </c:pt>
                <c:pt idx="19">
                  <c:v>45857</c:v>
                </c:pt>
                <c:pt idx="20">
                  <c:v>45858</c:v>
                </c:pt>
                <c:pt idx="21">
                  <c:v>45859</c:v>
                </c:pt>
                <c:pt idx="22">
                  <c:v>45860</c:v>
                </c:pt>
                <c:pt idx="23">
                  <c:v>45861</c:v>
                </c:pt>
                <c:pt idx="24">
                  <c:v>45862</c:v>
                </c:pt>
                <c:pt idx="25">
                  <c:v>45863</c:v>
                </c:pt>
                <c:pt idx="26">
                  <c:v>45864</c:v>
                </c:pt>
                <c:pt idx="27">
                  <c:v>45865</c:v>
                </c:pt>
                <c:pt idx="28">
                  <c:v>45866</c:v>
                </c:pt>
                <c:pt idx="29">
                  <c:v>45867</c:v>
                </c:pt>
                <c:pt idx="30">
                  <c:v>45868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4FB-41E8-9C26-B29279751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72776"/>
        <c:axId val="1578510919"/>
      </c:lineChart>
      <c:dateAx>
        <c:axId val="15367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8510919"/>
        <c:crosses val="autoZero"/>
        <c:auto val="1"/>
        <c:lblOffset val="100"/>
        <c:baseTimeUnit val="days"/>
      </c:dateAx>
      <c:valAx>
        <c:axId val="1578510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6727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Agustus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BB'!$C$147:$AG$147</c:f>
              <c:numCache>
                <c:formatCode>dd/mm/yyyy</c:formatCode>
                <c:ptCount val="31"/>
                <c:pt idx="0">
                  <c:v>45869</c:v>
                </c:pt>
                <c:pt idx="1">
                  <c:v>45870</c:v>
                </c:pt>
                <c:pt idx="2">
                  <c:v>45871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F2F-4DEB-84CB-5BF86E1D1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906474"/>
        <c:axId val="32645197"/>
      </c:lineChart>
      <c:dateAx>
        <c:axId val="1265906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45197"/>
        <c:crosses val="autoZero"/>
        <c:auto val="1"/>
        <c:lblOffset val="100"/>
        <c:baseTimeUnit val="days"/>
      </c:dateAx>
      <c:valAx>
        <c:axId val="32645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59064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September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BB'!$C$153:$AG$153</c:f>
              <c:numCache>
                <c:formatCode>dd/mm/yyyy</c:formatCode>
                <c:ptCount val="31"/>
                <c:pt idx="0">
                  <c:v>45900</c:v>
                </c:pt>
                <c:pt idx="1">
                  <c:v>45901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A9-4011-9841-B8AC80A88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176384"/>
        <c:axId val="1110332670"/>
      </c:lineChart>
      <c:dateAx>
        <c:axId val="19621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0332670"/>
        <c:crosses val="autoZero"/>
        <c:auto val="1"/>
        <c:lblOffset val="100"/>
        <c:baseTimeUnit val="days"/>
      </c:dateAx>
      <c:valAx>
        <c:axId val="1110332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1763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Grafik Selisih Hop Bulan Oktober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'data harian operasi (HOP) BB'!$C$159:$AG$159</c:f>
              <c:numCache>
                <c:formatCode>dd/mm/yyyy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'data harian operasi (HOP) BB'!#REF!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harian operasi (HOP) BB'!#REF!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CB0-4461-88F5-6F5178D3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571526"/>
        <c:axId val="1154250532"/>
      </c:lineChart>
      <c:dateAx>
        <c:axId val="967571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Hari Tanggal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4250532"/>
        <c:crosses val="autoZero"/>
        <c:auto val="1"/>
        <c:lblOffset val="100"/>
        <c:baseTimeUnit val="days"/>
      </c:dateAx>
      <c:valAx>
        <c:axId val="1154250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Arial black"/>
                  </a:defRPr>
                </a:pPr>
                <a:r>
                  <a:rPr lang="en-US" b="1" i="1">
                    <a:solidFill>
                      <a:srgbClr val="000000"/>
                    </a:solidFill>
                    <a:latin typeface="Arial black"/>
                  </a:rPr>
                  <a:t>HOP FULL LOAD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75715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295275</xdr:colOff>
      <xdr:row>52</xdr:row>
      <xdr:rowOff>419100</xdr:rowOff>
    </xdr:from>
    <xdr:ext cx="8134350" cy="3781425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4B2875B3-5291-4E07-8E13-CD39524D1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33</xdr:col>
      <xdr:colOff>295275</xdr:colOff>
      <xdr:row>62</xdr:row>
      <xdr:rowOff>419100</xdr:rowOff>
    </xdr:from>
    <xdr:ext cx="8134350" cy="3781425"/>
    <xdr:graphicFrame macro="">
      <xdr:nvGraphicFramePr>
        <xdr:cNvPr id="3" name="Chart 2" title="Diagram">
          <a:extLst>
            <a:ext uri="{FF2B5EF4-FFF2-40B4-BE49-F238E27FC236}">
              <a16:creationId xmlns:a16="http://schemas.microsoft.com/office/drawing/2014/main" id="{71A712A0-B2F6-43AF-AD84-806C7D36C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295275</xdr:colOff>
      <xdr:row>72</xdr:row>
      <xdr:rowOff>419100</xdr:rowOff>
    </xdr:from>
    <xdr:ext cx="8134350" cy="3781425"/>
    <xdr:graphicFrame macro="">
      <xdr:nvGraphicFramePr>
        <xdr:cNvPr id="4" name="Chart 3" title="Diagram">
          <a:extLst>
            <a:ext uri="{FF2B5EF4-FFF2-40B4-BE49-F238E27FC236}">
              <a16:creationId xmlns:a16="http://schemas.microsoft.com/office/drawing/2014/main" id="{C66945BF-9F87-4C9F-AC77-85A057BEB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33</xdr:col>
      <xdr:colOff>295275</xdr:colOff>
      <xdr:row>82</xdr:row>
      <xdr:rowOff>419100</xdr:rowOff>
    </xdr:from>
    <xdr:ext cx="8134350" cy="3781425"/>
    <xdr:graphicFrame macro="">
      <xdr:nvGraphicFramePr>
        <xdr:cNvPr id="5" name="Chart 4" title="Diagram">
          <a:extLst>
            <a:ext uri="{FF2B5EF4-FFF2-40B4-BE49-F238E27FC236}">
              <a16:creationId xmlns:a16="http://schemas.microsoft.com/office/drawing/2014/main" id="{9148F161-B715-4FCE-ACDC-47C92166E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33</xdr:col>
      <xdr:colOff>295275</xdr:colOff>
      <xdr:row>92</xdr:row>
      <xdr:rowOff>419100</xdr:rowOff>
    </xdr:from>
    <xdr:ext cx="8134350" cy="3781425"/>
    <xdr:graphicFrame macro="">
      <xdr:nvGraphicFramePr>
        <xdr:cNvPr id="6" name="Chart 5" title="Diagram">
          <a:extLst>
            <a:ext uri="{FF2B5EF4-FFF2-40B4-BE49-F238E27FC236}">
              <a16:creationId xmlns:a16="http://schemas.microsoft.com/office/drawing/2014/main" id="{BC7C44D9-79F7-4C8D-8892-633272CA8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33</xdr:col>
      <xdr:colOff>295275</xdr:colOff>
      <xdr:row>102</xdr:row>
      <xdr:rowOff>419100</xdr:rowOff>
    </xdr:from>
    <xdr:ext cx="8134350" cy="3781425"/>
    <xdr:graphicFrame macro="">
      <xdr:nvGraphicFramePr>
        <xdr:cNvPr id="7" name="Chart 6" title="Diagram">
          <a:extLst>
            <a:ext uri="{FF2B5EF4-FFF2-40B4-BE49-F238E27FC236}">
              <a16:creationId xmlns:a16="http://schemas.microsoft.com/office/drawing/2014/main" id="{5CACA24C-B18F-47B0-B7FD-DAA845EE2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33</xdr:col>
      <xdr:colOff>295275</xdr:colOff>
      <xdr:row>108</xdr:row>
      <xdr:rowOff>419100</xdr:rowOff>
    </xdr:from>
    <xdr:ext cx="8134350" cy="3781425"/>
    <xdr:graphicFrame macro="">
      <xdr:nvGraphicFramePr>
        <xdr:cNvPr id="8" name="Chart 7" title="Diagram">
          <a:extLst>
            <a:ext uri="{FF2B5EF4-FFF2-40B4-BE49-F238E27FC236}">
              <a16:creationId xmlns:a16="http://schemas.microsoft.com/office/drawing/2014/main" id="{D8F2A22D-051C-4EE3-973E-183F950CE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33</xdr:col>
      <xdr:colOff>295275</xdr:colOff>
      <xdr:row>114</xdr:row>
      <xdr:rowOff>419100</xdr:rowOff>
    </xdr:from>
    <xdr:ext cx="8134350" cy="3781425"/>
    <xdr:graphicFrame macro="">
      <xdr:nvGraphicFramePr>
        <xdr:cNvPr id="9" name="Chart 8" title="Diagram">
          <a:extLst>
            <a:ext uri="{FF2B5EF4-FFF2-40B4-BE49-F238E27FC236}">
              <a16:creationId xmlns:a16="http://schemas.microsoft.com/office/drawing/2014/main" id="{04D5D11A-D8CA-43E5-81F8-B4C8CF75F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33</xdr:col>
      <xdr:colOff>295275</xdr:colOff>
      <xdr:row>120</xdr:row>
      <xdr:rowOff>419100</xdr:rowOff>
    </xdr:from>
    <xdr:ext cx="8134350" cy="3781425"/>
    <xdr:graphicFrame macro="">
      <xdr:nvGraphicFramePr>
        <xdr:cNvPr id="10" name="Chart 9" title="Diagram">
          <a:extLst>
            <a:ext uri="{FF2B5EF4-FFF2-40B4-BE49-F238E27FC236}">
              <a16:creationId xmlns:a16="http://schemas.microsoft.com/office/drawing/2014/main" id="{5709D03F-6326-4B48-A919-346037EA3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33</xdr:col>
      <xdr:colOff>295275</xdr:colOff>
      <xdr:row>126</xdr:row>
      <xdr:rowOff>419100</xdr:rowOff>
    </xdr:from>
    <xdr:ext cx="8134350" cy="3781425"/>
    <xdr:graphicFrame macro="">
      <xdr:nvGraphicFramePr>
        <xdr:cNvPr id="11" name="Chart 10" title="Diagram">
          <a:extLst>
            <a:ext uri="{FF2B5EF4-FFF2-40B4-BE49-F238E27FC236}">
              <a16:creationId xmlns:a16="http://schemas.microsoft.com/office/drawing/2014/main" id="{E6781688-59FE-4E60-9D14-22756E0C5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33</xdr:col>
      <xdr:colOff>295275</xdr:colOff>
      <xdr:row>132</xdr:row>
      <xdr:rowOff>419100</xdr:rowOff>
    </xdr:from>
    <xdr:ext cx="8134350" cy="3781425"/>
    <xdr:graphicFrame macro="">
      <xdr:nvGraphicFramePr>
        <xdr:cNvPr id="12" name="Chart 11" title="Diagram">
          <a:extLst>
            <a:ext uri="{FF2B5EF4-FFF2-40B4-BE49-F238E27FC236}">
              <a16:creationId xmlns:a16="http://schemas.microsoft.com/office/drawing/2014/main" id="{02532C20-83B2-44C6-96B9-91DA1E63A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33</xdr:col>
      <xdr:colOff>295275</xdr:colOff>
      <xdr:row>138</xdr:row>
      <xdr:rowOff>419100</xdr:rowOff>
    </xdr:from>
    <xdr:ext cx="8134350" cy="3781425"/>
    <xdr:graphicFrame macro="">
      <xdr:nvGraphicFramePr>
        <xdr:cNvPr id="13" name="Chart 12" title="Diagram">
          <a:extLst>
            <a:ext uri="{FF2B5EF4-FFF2-40B4-BE49-F238E27FC236}">
              <a16:creationId xmlns:a16="http://schemas.microsoft.com/office/drawing/2014/main" id="{23A97B85-F3C2-4E61-9AAC-CC843A2A8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33</xdr:col>
      <xdr:colOff>295275</xdr:colOff>
      <xdr:row>144</xdr:row>
      <xdr:rowOff>419100</xdr:rowOff>
    </xdr:from>
    <xdr:ext cx="8134350" cy="3781425"/>
    <xdr:graphicFrame macro="">
      <xdr:nvGraphicFramePr>
        <xdr:cNvPr id="14" name="Chart 13" title="Diagram">
          <a:extLst>
            <a:ext uri="{FF2B5EF4-FFF2-40B4-BE49-F238E27FC236}">
              <a16:creationId xmlns:a16="http://schemas.microsoft.com/office/drawing/2014/main" id="{F39F63C1-AFE2-4A9E-A68C-7AEECE109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33</xdr:col>
      <xdr:colOff>295275</xdr:colOff>
      <xdr:row>150</xdr:row>
      <xdr:rowOff>419100</xdr:rowOff>
    </xdr:from>
    <xdr:ext cx="8134350" cy="3781425"/>
    <xdr:graphicFrame macro="">
      <xdr:nvGraphicFramePr>
        <xdr:cNvPr id="15" name="Chart 14" title="Diagram">
          <a:extLst>
            <a:ext uri="{FF2B5EF4-FFF2-40B4-BE49-F238E27FC236}">
              <a16:creationId xmlns:a16="http://schemas.microsoft.com/office/drawing/2014/main" id="{D03F1ED1-5DC5-442B-A1A3-D297773CA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33</xdr:col>
      <xdr:colOff>295275</xdr:colOff>
      <xdr:row>156</xdr:row>
      <xdr:rowOff>419100</xdr:rowOff>
    </xdr:from>
    <xdr:ext cx="8134350" cy="3781425"/>
    <xdr:graphicFrame macro="">
      <xdr:nvGraphicFramePr>
        <xdr:cNvPr id="16" name="Chart 15" title="Diagram">
          <a:extLst>
            <a:ext uri="{FF2B5EF4-FFF2-40B4-BE49-F238E27FC236}">
              <a16:creationId xmlns:a16="http://schemas.microsoft.com/office/drawing/2014/main" id="{22B3F450-DD4F-4631-984C-BDC65CBA6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onesiapower-my.sharepoint.com/personal/agus_kurniawan_plnindonesiapower_co_id/Documents/Downloads/STOCK%20BB%20COALYARD%20(ICMS)%20(1).xlsx" TargetMode="External"/><Relationship Id="rId1" Type="http://schemas.openxmlformats.org/officeDocument/2006/relationships/externalLinkPath" Target="https://indonesiapower-my.sharepoint.com/personal/agus_kurniawan_plnindonesiapower_co_id/Documents/Downloads/STOCK%20BB%20COALYARD%20(ICMS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AN"/>
      <sheetName val="DATA BB"/>
      <sheetName val="CATATAN"/>
      <sheetName val="STOCK BB CY OPERATOR"/>
      <sheetName val="STOCK BB CY PER SHIPPER OP"/>
      <sheetName val="STOCK BB CY INVENTORY"/>
      <sheetName val="STOCK BB CY PER SHIPPER INV"/>
      <sheetName val="Update Selisih HOP"/>
      <sheetName val="GRAFIK SELISIH H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5">
          <cell r="C105">
            <v>45657</v>
          </cell>
          <cell r="D105">
            <v>45658</v>
          </cell>
          <cell r="E105">
            <v>45659</v>
          </cell>
          <cell r="F105">
            <v>45660</v>
          </cell>
          <cell r="G105">
            <v>45661</v>
          </cell>
          <cell r="H105">
            <v>45662</v>
          </cell>
          <cell r="I105">
            <v>45663</v>
          </cell>
          <cell r="J105">
            <v>45664</v>
          </cell>
          <cell r="K105">
            <v>45665</v>
          </cell>
          <cell r="L105">
            <v>45666</v>
          </cell>
          <cell r="M105">
            <v>45667</v>
          </cell>
          <cell r="N105">
            <v>45668</v>
          </cell>
          <cell r="O105">
            <v>45669</v>
          </cell>
          <cell r="P105">
            <v>45670</v>
          </cell>
          <cell r="Q105">
            <v>45671</v>
          </cell>
          <cell r="R105">
            <v>45672</v>
          </cell>
          <cell r="S105">
            <v>45673</v>
          </cell>
          <cell r="T105">
            <v>45674</v>
          </cell>
          <cell r="U105">
            <v>45675</v>
          </cell>
          <cell r="V105">
            <v>45676</v>
          </cell>
          <cell r="W105">
            <v>45677</v>
          </cell>
          <cell r="X105">
            <v>45678</v>
          </cell>
          <cell r="Y105">
            <v>45679</v>
          </cell>
          <cell r="Z105">
            <v>45680</v>
          </cell>
          <cell r="AA105">
            <v>45681</v>
          </cell>
          <cell r="AB105">
            <v>45682</v>
          </cell>
          <cell r="AC105">
            <v>45683</v>
          </cell>
          <cell r="AD105">
            <v>45684</v>
          </cell>
          <cell r="AE105">
            <v>45685</v>
          </cell>
          <cell r="AF105">
            <v>45686</v>
          </cell>
          <cell r="AG105">
            <v>45687</v>
          </cell>
        </row>
        <row r="108">
          <cell r="B108" t="str">
            <v>Selisih Hop</v>
          </cell>
          <cell r="C108">
            <v>0.73000000000000043</v>
          </cell>
          <cell r="D108">
            <v>0.73000000000000043</v>
          </cell>
          <cell r="E108">
            <v>0.48999999999999844</v>
          </cell>
          <cell r="F108">
            <v>0.50999999999999801</v>
          </cell>
          <cell r="G108">
            <v>0.62000000000000099</v>
          </cell>
          <cell r="H108">
            <v>0.69000000000000128</v>
          </cell>
          <cell r="I108">
            <v>0.69000000000000128</v>
          </cell>
          <cell r="J108">
            <v>0.64000000000000057</v>
          </cell>
          <cell r="K108">
            <v>0.75999999999999801</v>
          </cell>
          <cell r="L108">
            <v>0.77999999999999758</v>
          </cell>
          <cell r="M108">
            <v>0.78000000000000114</v>
          </cell>
          <cell r="N108">
            <v>0.60999999999999943</v>
          </cell>
          <cell r="O108">
            <v>0.46999999999999886</v>
          </cell>
          <cell r="P108">
            <v>0.44000000000000128</v>
          </cell>
          <cell r="Q108">
            <v>0.46999999999999886</v>
          </cell>
          <cell r="R108">
            <v>0.39000000000000057</v>
          </cell>
          <cell r="S108">
            <v>0.37999999999999901</v>
          </cell>
          <cell r="T108">
            <v>0.31000000000000227</v>
          </cell>
          <cell r="U108">
            <v>0.32000000000000028</v>
          </cell>
          <cell r="V108">
            <v>0.32000000000000028</v>
          </cell>
          <cell r="W108">
            <v>0.37000000000000099</v>
          </cell>
          <cell r="X108">
            <v>0.32000000000000028</v>
          </cell>
          <cell r="Y108">
            <v>0.53999999999999915</v>
          </cell>
          <cell r="Z108">
            <v>0.73999999999999844</v>
          </cell>
          <cell r="AA108">
            <v>1.0100000000000016</v>
          </cell>
          <cell r="AB108">
            <v>1.1999999999999993</v>
          </cell>
          <cell r="AC108">
            <v>1.2600000000000016</v>
          </cell>
          <cell r="AD108">
            <v>1.2699999999999996</v>
          </cell>
          <cell r="AE108">
            <v>1.3099999999999987</v>
          </cell>
          <cell r="AF108">
            <v>1.4100000000000001</v>
          </cell>
          <cell r="AG108">
            <v>1.5199999999999996</v>
          </cell>
        </row>
        <row r="115">
          <cell r="C115">
            <v>45688</v>
          </cell>
          <cell r="D115">
            <v>45689</v>
          </cell>
          <cell r="E115">
            <v>45690</v>
          </cell>
          <cell r="F115">
            <v>45691</v>
          </cell>
          <cell r="G115">
            <v>45692</v>
          </cell>
          <cell r="H115">
            <v>45693</v>
          </cell>
          <cell r="I115">
            <v>45694</v>
          </cell>
          <cell r="J115">
            <v>45695</v>
          </cell>
          <cell r="K115">
            <v>45696</v>
          </cell>
          <cell r="L115">
            <v>45697</v>
          </cell>
          <cell r="M115">
            <v>45698</v>
          </cell>
          <cell r="N115">
            <v>45699</v>
          </cell>
          <cell r="O115">
            <v>45700</v>
          </cell>
          <cell r="P115">
            <v>45701</v>
          </cell>
          <cell r="Q115">
            <v>45702</v>
          </cell>
          <cell r="R115">
            <v>45703</v>
          </cell>
          <cell r="S115">
            <v>45704</v>
          </cell>
          <cell r="T115">
            <v>45705</v>
          </cell>
          <cell r="U115">
            <v>45706</v>
          </cell>
          <cell r="V115">
            <v>45707</v>
          </cell>
          <cell r="W115">
            <v>45708</v>
          </cell>
          <cell r="X115">
            <v>45709</v>
          </cell>
          <cell r="Y115">
            <v>45710</v>
          </cell>
          <cell r="Z115">
            <v>45711</v>
          </cell>
          <cell r="AA115">
            <v>45712</v>
          </cell>
          <cell r="AB115">
            <v>45713</v>
          </cell>
          <cell r="AC115">
            <v>45714</v>
          </cell>
          <cell r="AD115">
            <v>45715</v>
          </cell>
          <cell r="AE115">
            <v>45716</v>
          </cell>
        </row>
        <row r="118">
          <cell r="B118" t="str">
            <v>Selisih Hop</v>
          </cell>
          <cell r="C118">
            <v>1.120000000000001</v>
          </cell>
          <cell r="D118">
            <v>1.4399999999999995</v>
          </cell>
          <cell r="E118">
            <v>0.92999999999999972</v>
          </cell>
          <cell r="F118">
            <v>1.1199999999999992</v>
          </cell>
          <cell r="G118">
            <v>0.94999999999999929</v>
          </cell>
          <cell r="H118">
            <v>1.0199999999999996</v>
          </cell>
          <cell r="I118">
            <v>0.80000000000000071</v>
          </cell>
          <cell r="J118">
            <v>0.86999999999999922</v>
          </cell>
          <cell r="K118">
            <v>0.55000000000000071</v>
          </cell>
          <cell r="L118">
            <v>0.64000000000000057</v>
          </cell>
          <cell r="M118">
            <v>0.86000000000000121</v>
          </cell>
          <cell r="N118">
            <v>0.5600000000000005</v>
          </cell>
          <cell r="O118">
            <v>1.1799999999999997</v>
          </cell>
          <cell r="P118">
            <v>1.9599999999999991</v>
          </cell>
          <cell r="Q118">
            <v>1.33</v>
          </cell>
          <cell r="R118">
            <v>1.42</v>
          </cell>
          <cell r="S118">
            <v>1.5099999999999998</v>
          </cell>
          <cell r="T118">
            <v>1.3399999999999999</v>
          </cell>
          <cell r="U118">
            <v>2.16</v>
          </cell>
          <cell r="V118">
            <v>1.5499999999999989</v>
          </cell>
          <cell r="W118">
            <v>1.5399999999999991</v>
          </cell>
          <cell r="X118">
            <v>1.4799999999999986</v>
          </cell>
          <cell r="Y118">
            <v>1.2699999999999996</v>
          </cell>
          <cell r="Z118">
            <v>1.33</v>
          </cell>
          <cell r="AA118">
            <v>1.2799999999999994</v>
          </cell>
          <cell r="AB118">
            <v>1.4799999999999986</v>
          </cell>
          <cell r="AC118">
            <v>1.8499999999999996</v>
          </cell>
          <cell r="AD118">
            <v>2.1899999999999995</v>
          </cell>
        </row>
        <row r="125">
          <cell r="C125">
            <v>45716</v>
          </cell>
          <cell r="D125">
            <v>45717</v>
          </cell>
          <cell r="E125">
            <v>45718</v>
          </cell>
          <cell r="F125">
            <v>45719</v>
          </cell>
          <cell r="G125">
            <v>45720</v>
          </cell>
          <cell r="H125">
            <v>45721</v>
          </cell>
          <cell r="I125">
            <v>45722</v>
          </cell>
          <cell r="J125">
            <v>45723</v>
          </cell>
          <cell r="K125">
            <v>45724</v>
          </cell>
          <cell r="L125">
            <v>45725</v>
          </cell>
          <cell r="M125">
            <v>45726</v>
          </cell>
          <cell r="N125">
            <v>45727</v>
          </cell>
          <cell r="O125">
            <v>45728</v>
          </cell>
          <cell r="P125">
            <v>45729</v>
          </cell>
          <cell r="Q125">
            <v>45730</v>
          </cell>
          <cell r="R125">
            <v>45731</v>
          </cell>
          <cell r="S125">
            <v>45732</v>
          </cell>
          <cell r="T125">
            <v>45733</v>
          </cell>
          <cell r="U125">
            <v>45734</v>
          </cell>
          <cell r="V125">
            <v>45735</v>
          </cell>
          <cell r="W125">
            <v>45736</v>
          </cell>
          <cell r="X125">
            <v>45737</v>
          </cell>
          <cell r="Y125">
            <v>45738</v>
          </cell>
          <cell r="Z125">
            <v>45739</v>
          </cell>
          <cell r="AA125">
            <v>45740</v>
          </cell>
          <cell r="AB125">
            <v>45741</v>
          </cell>
          <cell r="AC125">
            <v>45742</v>
          </cell>
          <cell r="AD125">
            <v>45743</v>
          </cell>
          <cell r="AE125">
            <v>45744</v>
          </cell>
          <cell r="AF125">
            <v>45745</v>
          </cell>
          <cell r="AG125">
            <v>45746</v>
          </cell>
        </row>
        <row r="128">
          <cell r="B128" t="str">
            <v>Selisih Hop</v>
          </cell>
          <cell r="C128">
            <v>2.2400000000000002</v>
          </cell>
          <cell r="D128">
            <v>2.0300000000000011</v>
          </cell>
          <cell r="E128">
            <v>2.3900000000000006</v>
          </cell>
          <cell r="F128">
            <v>2.1500000000000004</v>
          </cell>
          <cell r="G128">
            <v>2.34</v>
          </cell>
          <cell r="H128">
            <v>1.67</v>
          </cell>
          <cell r="I128">
            <v>2.2300000000000004</v>
          </cell>
          <cell r="J128">
            <v>1.58</v>
          </cell>
          <cell r="K128">
            <v>2.0700000000000003</v>
          </cell>
          <cell r="L128">
            <v>2.0700000000000003</v>
          </cell>
          <cell r="M128">
            <v>2.4299999999999997</v>
          </cell>
          <cell r="N128">
            <v>2.08</v>
          </cell>
          <cell r="O128">
            <v>2.129999999999999</v>
          </cell>
          <cell r="P128">
            <v>2.3000000000000007</v>
          </cell>
          <cell r="Q128">
            <v>2.3699999999999992</v>
          </cell>
          <cell r="R128">
            <v>2.41</v>
          </cell>
          <cell r="S128">
            <v>2.8400000000000007</v>
          </cell>
          <cell r="T128">
            <v>2.4699999999999998</v>
          </cell>
          <cell r="U128">
            <v>2.3500000000000005</v>
          </cell>
          <cell r="V128">
            <v>2.2600000000000007</v>
          </cell>
          <cell r="W128">
            <v>2.3499999999999996</v>
          </cell>
          <cell r="X128">
            <v>2.1999999999999993</v>
          </cell>
          <cell r="Y128">
            <v>1.9399999999999995</v>
          </cell>
          <cell r="Z128">
            <v>2.2600000000000007</v>
          </cell>
          <cell r="AA128">
            <v>2.1100000000000003</v>
          </cell>
          <cell r="AB128">
            <v>2.5299999999999994</v>
          </cell>
          <cell r="AC128">
            <v>3.6100000000000003</v>
          </cell>
          <cell r="AD128">
            <v>3.08</v>
          </cell>
          <cell r="AE128">
            <v>2.6900000000000004</v>
          </cell>
          <cell r="AF128">
            <v>3.13</v>
          </cell>
          <cell r="AG128">
            <v>3.3100000000000005</v>
          </cell>
        </row>
        <row r="135">
          <cell r="C135">
            <v>45747</v>
          </cell>
          <cell r="D135">
            <v>45748</v>
          </cell>
          <cell r="E135">
            <v>45749</v>
          </cell>
          <cell r="F135">
            <v>45750</v>
          </cell>
          <cell r="G135">
            <v>45751</v>
          </cell>
          <cell r="H135">
            <v>45752</v>
          </cell>
          <cell r="I135">
            <v>45753</v>
          </cell>
          <cell r="J135">
            <v>45754</v>
          </cell>
          <cell r="K135">
            <v>45755</v>
          </cell>
          <cell r="L135">
            <v>45756</v>
          </cell>
          <cell r="M135">
            <v>45757</v>
          </cell>
          <cell r="N135">
            <v>45758</v>
          </cell>
          <cell r="O135">
            <v>45759</v>
          </cell>
          <cell r="P135">
            <v>45760</v>
          </cell>
          <cell r="Q135">
            <v>45761</v>
          </cell>
          <cell r="R135">
            <v>45762</v>
          </cell>
          <cell r="S135">
            <v>45763</v>
          </cell>
          <cell r="T135">
            <v>45764</v>
          </cell>
          <cell r="U135">
            <v>45765</v>
          </cell>
          <cell r="V135">
            <v>45766</v>
          </cell>
          <cell r="W135">
            <v>45767</v>
          </cell>
          <cell r="X135">
            <v>45768</v>
          </cell>
          <cell r="Y135">
            <v>45769</v>
          </cell>
          <cell r="Z135">
            <v>45770</v>
          </cell>
          <cell r="AA135">
            <v>45771</v>
          </cell>
          <cell r="AB135">
            <v>45772</v>
          </cell>
          <cell r="AC135">
            <v>45773</v>
          </cell>
          <cell r="AD135">
            <v>45774</v>
          </cell>
          <cell r="AE135">
            <v>45775</v>
          </cell>
          <cell r="AF135">
            <v>45776</v>
          </cell>
        </row>
        <row r="138">
          <cell r="B138" t="str">
            <v>Selisih Hop</v>
          </cell>
          <cell r="C138">
            <v>2.5699999999999994</v>
          </cell>
          <cell r="D138">
            <v>3.3699999999999992</v>
          </cell>
          <cell r="E138">
            <v>3.7199999999999998</v>
          </cell>
          <cell r="F138">
            <v>3.4499999999999993</v>
          </cell>
          <cell r="G138">
            <v>3.4800000000000004</v>
          </cell>
          <cell r="H138">
            <v>2.8000000000000007</v>
          </cell>
          <cell r="I138">
            <v>3.379999999999999</v>
          </cell>
          <cell r="J138">
            <v>3.4299999999999997</v>
          </cell>
          <cell r="K138">
            <v>3.51</v>
          </cell>
          <cell r="L138">
            <v>3.5</v>
          </cell>
          <cell r="M138">
            <v>2.7000000000000011</v>
          </cell>
          <cell r="N138">
            <v>3.1899999999999995</v>
          </cell>
          <cell r="O138">
            <v>3.41</v>
          </cell>
          <cell r="P138">
            <v>3.4399999999999995</v>
          </cell>
          <cell r="Q138">
            <v>3.1400000000000006</v>
          </cell>
          <cell r="R138">
            <v>3.2100000000000009</v>
          </cell>
          <cell r="S138">
            <v>3.6500000000000004</v>
          </cell>
          <cell r="T138">
            <v>3.6500000000000004</v>
          </cell>
          <cell r="U138">
            <v>3.5299999999999994</v>
          </cell>
          <cell r="V138">
            <v>3.5799999999999983</v>
          </cell>
          <cell r="W138">
            <v>3.6400000000000006</v>
          </cell>
          <cell r="X138">
            <v>3.1300000000000008</v>
          </cell>
          <cell r="Y138">
            <v>3.26</v>
          </cell>
          <cell r="Z138">
            <v>3.3099999999999987</v>
          </cell>
          <cell r="AA138">
            <v>3.2300000000000004</v>
          </cell>
          <cell r="AB138">
            <v>3.6400000000000006</v>
          </cell>
          <cell r="AC138">
            <v>3.4600000000000009</v>
          </cell>
          <cell r="AD138">
            <v>3.7299999999999986</v>
          </cell>
          <cell r="AE138">
            <v>3.09</v>
          </cell>
          <cell r="AF138">
            <v>3.2699999999999996</v>
          </cell>
          <cell r="AG138">
            <v>0</v>
          </cell>
        </row>
        <row r="145">
          <cell r="C145">
            <v>45777</v>
          </cell>
          <cell r="D145">
            <v>45778</v>
          </cell>
          <cell r="E145">
            <v>45779</v>
          </cell>
          <cell r="F145">
            <v>45780</v>
          </cell>
          <cell r="G145">
            <v>45781</v>
          </cell>
          <cell r="H145">
            <v>45782</v>
          </cell>
          <cell r="I145">
            <v>45783</v>
          </cell>
          <cell r="J145">
            <v>45784</v>
          </cell>
          <cell r="K145">
            <v>45785</v>
          </cell>
          <cell r="L145">
            <v>45786</v>
          </cell>
          <cell r="M145">
            <v>45787</v>
          </cell>
          <cell r="N145">
            <v>45788</v>
          </cell>
          <cell r="O145">
            <v>45789</v>
          </cell>
          <cell r="P145">
            <v>45790</v>
          </cell>
          <cell r="Q145">
            <v>45791</v>
          </cell>
          <cell r="R145">
            <v>45792</v>
          </cell>
          <cell r="S145">
            <v>45793</v>
          </cell>
          <cell r="T145">
            <v>45794</v>
          </cell>
          <cell r="U145">
            <v>45795</v>
          </cell>
          <cell r="V145">
            <v>45796</v>
          </cell>
          <cell r="W145">
            <v>45797</v>
          </cell>
          <cell r="X145">
            <v>45798</v>
          </cell>
          <cell r="Y145">
            <v>45799</v>
          </cell>
          <cell r="Z145">
            <v>45800</v>
          </cell>
          <cell r="AA145">
            <v>45801</v>
          </cell>
          <cell r="AB145">
            <v>45802</v>
          </cell>
          <cell r="AC145">
            <v>45803</v>
          </cell>
          <cell r="AD145">
            <v>45804</v>
          </cell>
          <cell r="AE145">
            <v>45805</v>
          </cell>
          <cell r="AF145">
            <v>45806</v>
          </cell>
          <cell r="AG145">
            <v>45807</v>
          </cell>
        </row>
        <row r="148">
          <cell r="B148" t="str">
            <v>Selisih Hop</v>
          </cell>
          <cell r="C148">
            <v>3.6827407407407406</v>
          </cell>
          <cell r="D148">
            <v>3.6746762222222209</v>
          </cell>
          <cell r="E148">
            <v>3.4937398518518528</v>
          </cell>
          <cell r="F148">
            <v>3.496037111111109</v>
          </cell>
          <cell r="G148">
            <v>3.5381446666666676</v>
          </cell>
          <cell r="H148">
            <v>3.7408634814814814</v>
          </cell>
          <cell r="I148">
            <v>3.2785531851851832</v>
          </cell>
          <cell r="J148">
            <v>3.3659711111111097</v>
          </cell>
          <cell r="K148">
            <v>3.5145411851851858</v>
          </cell>
          <cell r="L148">
            <v>3.452461111111111</v>
          </cell>
          <cell r="M148">
            <v>3.5227215555555578</v>
          </cell>
          <cell r="N148">
            <v>3.4996710370370376</v>
          </cell>
          <cell r="O148">
            <v>3.4024076296296286</v>
          </cell>
          <cell r="P148">
            <v>3.7999830370370375</v>
          </cell>
          <cell r="Q148">
            <v>3.6597980740740734</v>
          </cell>
          <cell r="R148">
            <v>3.4311743703703694</v>
          </cell>
          <cell r="S148">
            <v>4.3536938518518511</v>
          </cell>
          <cell r="T148">
            <v>4.0407113333333342</v>
          </cell>
          <cell r="U148">
            <v>4.1494111851851851</v>
          </cell>
          <cell r="V148">
            <v>3.2008162222222225</v>
          </cell>
          <cell r="W148">
            <v>2.983605185185187</v>
          </cell>
          <cell r="X148">
            <v>3.2275019999999994</v>
          </cell>
          <cell r="Y148">
            <v>3.6821434074074055</v>
          </cell>
          <cell r="Z148">
            <v>3.6866301481481489</v>
          </cell>
          <cell r="AA148">
            <v>3.5086267407407412</v>
          </cell>
          <cell r="AB148">
            <v>3.7993879259259256</v>
          </cell>
          <cell r="AC148">
            <v>3.764680074074076</v>
          </cell>
          <cell r="AD148">
            <v>3.4188934074074071</v>
          </cell>
          <cell r="AE148">
            <v>3.4590182222222232</v>
          </cell>
          <cell r="AF148">
            <v>3.026837629629628</v>
          </cell>
          <cell r="AG148">
            <v>3.2705870370370365</v>
          </cell>
        </row>
        <row r="155">
          <cell r="C155">
            <v>45808</v>
          </cell>
          <cell r="D155">
            <v>45809</v>
          </cell>
          <cell r="E155">
            <v>45810</v>
          </cell>
          <cell r="F155">
            <v>45811</v>
          </cell>
          <cell r="G155">
            <v>45812</v>
          </cell>
          <cell r="H155">
            <v>45813</v>
          </cell>
          <cell r="I155">
            <v>45814</v>
          </cell>
          <cell r="J155">
            <v>45815</v>
          </cell>
          <cell r="K155">
            <v>45816</v>
          </cell>
          <cell r="L155">
            <v>45817</v>
          </cell>
          <cell r="M155">
            <v>45818</v>
          </cell>
          <cell r="N155">
            <v>45819</v>
          </cell>
          <cell r="O155">
            <v>45820</v>
          </cell>
          <cell r="P155">
            <v>45821</v>
          </cell>
          <cell r="Q155">
            <v>45822</v>
          </cell>
          <cell r="R155">
            <v>45823</v>
          </cell>
          <cell r="S155">
            <v>45824</v>
          </cell>
          <cell r="T155">
            <v>45825</v>
          </cell>
          <cell r="U155">
            <v>45826</v>
          </cell>
          <cell r="V155">
            <v>45827</v>
          </cell>
          <cell r="W155">
            <v>45828</v>
          </cell>
          <cell r="X155">
            <v>45829</v>
          </cell>
          <cell r="Y155">
            <v>45830</v>
          </cell>
          <cell r="Z155">
            <v>45831</v>
          </cell>
          <cell r="AA155">
            <v>45832</v>
          </cell>
          <cell r="AB155">
            <v>45833</v>
          </cell>
          <cell r="AC155">
            <v>45834</v>
          </cell>
          <cell r="AD155">
            <v>45835</v>
          </cell>
          <cell r="AE155">
            <v>45836</v>
          </cell>
          <cell r="AF155">
            <v>45837</v>
          </cell>
        </row>
        <row r="158">
          <cell r="B158" t="str">
            <v>Selisih Hop</v>
          </cell>
          <cell r="C158">
            <v>2.9480947407407418</v>
          </cell>
          <cell r="D158">
            <v>3.0391606666666666</v>
          </cell>
          <cell r="E158">
            <v>3.3107993333333336</v>
          </cell>
          <cell r="F158">
            <v>2.8774572592592609</v>
          </cell>
          <cell r="G158">
            <v>3.0960073333333309</v>
          </cell>
          <cell r="H158">
            <v>3.2769871851851846</v>
          </cell>
          <cell r="I158">
            <v>2.8565117777777793</v>
          </cell>
          <cell r="J158">
            <v>3.5604435555555565</v>
          </cell>
          <cell r="K158">
            <v>3.3744300000000003</v>
          </cell>
          <cell r="L158">
            <v>2.8509568888888897</v>
          </cell>
          <cell r="M158">
            <v>2.6064914814814824</v>
          </cell>
          <cell r="N158">
            <v>2.7786130370370383</v>
          </cell>
          <cell r="O158">
            <v>2.7267573333333317</v>
          </cell>
          <cell r="P158">
            <v>3.2035025185185191</v>
          </cell>
          <cell r="Q158">
            <v>2.6376220740740735</v>
          </cell>
          <cell r="R158">
            <v>2.4109559999999988</v>
          </cell>
          <cell r="S158">
            <v>2.4577282222222223</v>
          </cell>
          <cell r="T158">
            <v>2.9143309629629623</v>
          </cell>
          <cell r="U158">
            <v>2.6784071851851863</v>
          </cell>
          <cell r="V158">
            <v>1.7974067407407404</v>
          </cell>
          <cell r="W158">
            <v>1.5118594814814816</v>
          </cell>
          <cell r="X158">
            <v>1.7292708888888892</v>
          </cell>
          <cell r="Y158">
            <v>1.5493202962962958</v>
          </cell>
          <cell r="Z158">
            <v>2.0647174074074073</v>
          </cell>
          <cell r="AA158">
            <v>2.3968771111111113</v>
          </cell>
          <cell r="AB158">
            <v>2.4983913333333341</v>
          </cell>
          <cell r="AC158">
            <v>2.0607079259259251</v>
          </cell>
          <cell r="AD158">
            <v>1.4364731851851849</v>
          </cell>
          <cell r="AE158">
            <v>1.1121884444444436</v>
          </cell>
          <cell r="AF158">
            <v>1.042480888888889</v>
          </cell>
          <cell r="AG158">
            <v>0</v>
          </cell>
        </row>
        <row r="165">
          <cell r="C165">
            <v>45838</v>
          </cell>
          <cell r="D165">
            <v>45839</v>
          </cell>
          <cell r="E165">
            <v>45840</v>
          </cell>
          <cell r="F165">
            <v>45841</v>
          </cell>
          <cell r="G165">
            <v>45842</v>
          </cell>
          <cell r="H165">
            <v>45843</v>
          </cell>
          <cell r="I165">
            <v>45844</v>
          </cell>
          <cell r="J165">
            <v>45845</v>
          </cell>
          <cell r="K165">
            <v>45846</v>
          </cell>
          <cell r="L165">
            <v>45847</v>
          </cell>
          <cell r="M165">
            <v>45848</v>
          </cell>
          <cell r="N165">
            <v>45849</v>
          </cell>
          <cell r="O165">
            <v>45850</v>
          </cell>
          <cell r="P165">
            <v>45851</v>
          </cell>
          <cell r="Q165">
            <v>45852</v>
          </cell>
          <cell r="R165">
            <v>45853</v>
          </cell>
          <cell r="S165">
            <v>45854</v>
          </cell>
          <cell r="T165">
            <v>45855</v>
          </cell>
          <cell r="U165">
            <v>45856</v>
          </cell>
          <cell r="V165">
            <v>45857</v>
          </cell>
          <cell r="W165">
            <v>45858</v>
          </cell>
          <cell r="X165">
            <v>45859</v>
          </cell>
          <cell r="Y165">
            <v>45860</v>
          </cell>
          <cell r="Z165">
            <v>45861</v>
          </cell>
          <cell r="AA165">
            <v>45862</v>
          </cell>
          <cell r="AB165">
            <v>45863</v>
          </cell>
          <cell r="AC165">
            <v>45864</v>
          </cell>
          <cell r="AD165">
            <v>45865</v>
          </cell>
          <cell r="AE165">
            <v>45866</v>
          </cell>
          <cell r="AF165">
            <v>45867</v>
          </cell>
          <cell r="AG165">
            <v>45868</v>
          </cell>
        </row>
        <row r="168">
          <cell r="B168" t="str">
            <v>Selisih Hop</v>
          </cell>
          <cell r="C168">
            <v>1.3912024444444455</v>
          </cell>
          <cell r="D168">
            <v>0.73248770370370409</v>
          </cell>
          <cell r="E168">
            <v>1.137453703703704</v>
          </cell>
          <cell r="F168">
            <v>0.70345496296296162</v>
          </cell>
          <cell r="G168">
            <v>0.63182311111111034</v>
          </cell>
          <cell r="H168">
            <v>0.99694762962963068</v>
          </cell>
          <cell r="I168">
            <v>0.79401955555555404</v>
          </cell>
          <cell r="J168">
            <v>0.82537674074074197</v>
          </cell>
          <cell r="K168">
            <v>0.99151437037036949</v>
          </cell>
          <cell r="L168">
            <v>0.99607044444444526</v>
          </cell>
          <cell r="M168">
            <v>1.0170427407407399</v>
          </cell>
          <cell r="N168">
            <v>1.0039925925925921</v>
          </cell>
          <cell r="O168">
            <v>0.82873007407407329</v>
          </cell>
          <cell r="P168">
            <v>0.9726835555555553</v>
          </cell>
          <cell r="Q168">
            <v>0.97722000000000264</v>
          </cell>
          <cell r="R168">
            <v>0.91293540740740653</v>
          </cell>
          <cell r="S168">
            <v>0.27744851851851848</v>
          </cell>
          <cell r="T168">
            <v>1.0883122222222212</v>
          </cell>
          <cell r="U168">
            <v>0.48678629629629633</v>
          </cell>
          <cell r="V168">
            <v>1.0588677777777775</v>
          </cell>
          <cell r="W168">
            <v>0.36778755555555875</v>
          </cell>
          <cell r="X168">
            <v>1.1329659999999997</v>
          </cell>
          <cell r="Y168">
            <v>0.63322525925925888</v>
          </cell>
          <cell r="Z168">
            <v>0.94583925925925882</v>
          </cell>
          <cell r="AA168">
            <v>0.6314412592592582</v>
          </cell>
          <cell r="AB168">
            <v>1.0374804444444408</v>
          </cell>
          <cell r="AC168">
            <v>0.5623377777777776</v>
          </cell>
          <cell r="AD168">
            <v>0.79894459259259065</v>
          </cell>
          <cell r="AE168">
            <v>1.2206137037037053</v>
          </cell>
          <cell r="AF168">
            <v>0.72101362962962767</v>
          </cell>
          <cell r="AG168">
            <v>0.66460155555555289</v>
          </cell>
        </row>
        <row r="175">
          <cell r="C175">
            <v>45869</v>
          </cell>
          <cell r="D175">
            <v>45870</v>
          </cell>
          <cell r="E175">
            <v>45871</v>
          </cell>
          <cell r="F175">
            <v>45872</v>
          </cell>
          <cell r="G175">
            <v>45873</v>
          </cell>
          <cell r="H175">
            <v>45874</v>
          </cell>
          <cell r="I175">
            <v>45875</v>
          </cell>
          <cell r="J175">
            <v>45876</v>
          </cell>
          <cell r="K175">
            <v>45877</v>
          </cell>
          <cell r="L175">
            <v>45878</v>
          </cell>
          <cell r="M175">
            <v>45879</v>
          </cell>
          <cell r="N175">
            <v>45880</v>
          </cell>
          <cell r="O175">
            <v>45881</v>
          </cell>
          <cell r="P175">
            <v>45882</v>
          </cell>
          <cell r="Q175">
            <v>45883</v>
          </cell>
          <cell r="R175">
            <v>45884</v>
          </cell>
          <cell r="S175">
            <v>45885</v>
          </cell>
          <cell r="T175">
            <v>45886</v>
          </cell>
          <cell r="U175">
            <v>45887</v>
          </cell>
          <cell r="V175">
            <v>45888</v>
          </cell>
          <cell r="W175">
            <v>45889</v>
          </cell>
          <cell r="X175">
            <v>45890</v>
          </cell>
          <cell r="Y175">
            <v>45891</v>
          </cell>
          <cell r="Z175">
            <v>45892</v>
          </cell>
          <cell r="AA175">
            <v>45893</v>
          </cell>
          <cell r="AB175">
            <v>45894</v>
          </cell>
          <cell r="AC175">
            <v>45895</v>
          </cell>
          <cell r="AD175">
            <v>45896</v>
          </cell>
          <cell r="AE175">
            <v>45897</v>
          </cell>
          <cell r="AF175">
            <v>45898</v>
          </cell>
          <cell r="AG175">
            <v>45899</v>
          </cell>
        </row>
        <row r="178">
          <cell r="B178" t="str">
            <v>Selisih Hop</v>
          </cell>
          <cell r="C178">
            <v>1.4561780740740708</v>
          </cell>
          <cell r="D178">
            <v>1.3951694814814815</v>
          </cell>
          <cell r="E178">
            <v>1.3997116296296284</v>
          </cell>
          <cell r="F178">
            <v>1.309594592592596</v>
          </cell>
          <cell r="G178">
            <v>1.7033554814814806</v>
          </cell>
          <cell r="H178">
            <v>0.76132577777777755</v>
          </cell>
          <cell r="I178">
            <v>1.1902248148148118</v>
          </cell>
          <cell r="J178">
            <v>1.5541813333333288</v>
          </cell>
          <cell r="K178">
            <v>1.4226104444444445</v>
          </cell>
          <cell r="L178">
            <v>1.1454128888888881</v>
          </cell>
          <cell r="M178">
            <v>1.3541987407407419</v>
          </cell>
          <cell r="N178">
            <v>0.9686578518518516</v>
          </cell>
          <cell r="O178">
            <v>1.9176291851851843</v>
          </cell>
          <cell r="P178">
            <v>1.5063794074074046</v>
          </cell>
          <cell r="Q178">
            <v>1.7437317777777785</v>
          </cell>
          <cell r="R178">
            <v>1.3662962962962943</v>
          </cell>
          <cell r="S178">
            <v>1.2226362222222207</v>
          </cell>
          <cell r="T178">
            <v>1.3877470370370411</v>
          </cell>
          <cell r="U178">
            <v>0.82140696296296412</v>
          </cell>
          <cell r="V178">
            <v>1.7622339999999994</v>
          </cell>
          <cell r="W178">
            <v>1.4280193333333351</v>
          </cell>
          <cell r="X178">
            <v>1.4352414074074105</v>
          </cell>
          <cell r="Y178">
            <v>1.6996191851851847</v>
          </cell>
          <cell r="Z178">
            <v>1.8391054814814787</v>
          </cell>
          <cell r="AA178">
            <v>2.1727636296296318</v>
          </cell>
          <cell r="AB178">
            <v>2.0708969629629657</v>
          </cell>
          <cell r="AC178">
            <v>2.1860697037037049</v>
          </cell>
          <cell r="AD178">
            <v>2.159983037037037</v>
          </cell>
          <cell r="AE178">
            <v>1.5963857777777761</v>
          </cell>
          <cell r="AF178">
            <v>2.1510994074074077</v>
          </cell>
          <cell r="AG178">
            <v>2.0008239259259284</v>
          </cell>
        </row>
        <row r="185">
          <cell r="C185">
            <v>45900</v>
          </cell>
          <cell r="D185">
            <v>45901</v>
          </cell>
          <cell r="E185">
            <v>45902</v>
          </cell>
          <cell r="F185">
            <v>45903</v>
          </cell>
          <cell r="G185">
            <v>45904</v>
          </cell>
          <cell r="H185">
            <v>45905</v>
          </cell>
          <cell r="I185">
            <v>45906</v>
          </cell>
          <cell r="J185">
            <v>45907</v>
          </cell>
          <cell r="K185">
            <v>45908</v>
          </cell>
          <cell r="L185">
            <v>45909</v>
          </cell>
          <cell r="M185">
            <v>45910</v>
          </cell>
          <cell r="N185">
            <v>45911</v>
          </cell>
          <cell r="O185">
            <v>45912</v>
          </cell>
          <cell r="P185">
            <v>45913</v>
          </cell>
          <cell r="Q185">
            <v>45914</v>
          </cell>
          <cell r="R185">
            <v>45915</v>
          </cell>
          <cell r="S185">
            <v>45916</v>
          </cell>
          <cell r="T185">
            <v>45917</v>
          </cell>
          <cell r="U185">
            <v>45918</v>
          </cell>
          <cell r="V185">
            <v>45919</v>
          </cell>
          <cell r="W185">
            <v>45920</v>
          </cell>
          <cell r="X185">
            <v>45921</v>
          </cell>
          <cell r="Y185">
            <v>45922</v>
          </cell>
          <cell r="Z185">
            <v>45923</v>
          </cell>
          <cell r="AA185">
            <v>45924</v>
          </cell>
          <cell r="AB185">
            <v>45925</v>
          </cell>
          <cell r="AC185">
            <v>45926</v>
          </cell>
          <cell r="AD185">
            <v>45927</v>
          </cell>
          <cell r="AE185">
            <v>45928</v>
          </cell>
          <cell r="AF185">
            <v>45929</v>
          </cell>
          <cell r="AG185">
            <v>45930</v>
          </cell>
        </row>
        <row r="188">
          <cell r="B188" t="str">
            <v>Selisih Hop</v>
          </cell>
          <cell r="C188">
            <v>1.8436525925925942</v>
          </cell>
          <cell r="D188">
            <v>2.297017481481479</v>
          </cell>
          <cell r="E188">
            <v>1.6885663703703706</v>
          </cell>
          <cell r="F188">
            <v>1.3920090370370382</v>
          </cell>
          <cell r="G188">
            <v>1.9987439259259254</v>
          </cell>
          <cell r="H188">
            <v>1.5920518518518527</v>
          </cell>
          <cell r="I188">
            <v>2.581946296296298</v>
          </cell>
          <cell r="J188">
            <v>1.497989037037037</v>
          </cell>
          <cell r="K188">
            <v>2.2515672592592608</v>
          </cell>
          <cell r="L188">
            <v>2.0368042222222229</v>
          </cell>
          <cell r="M188">
            <v>1.9285817777777758</v>
          </cell>
          <cell r="N188">
            <v>2.1554643703703711</v>
          </cell>
          <cell r="O188">
            <v>1.9736108148148155</v>
          </cell>
          <cell r="P188">
            <v>2.301068518518516</v>
          </cell>
          <cell r="Q188">
            <v>1.8481061481481476</v>
          </cell>
          <cell r="R188">
            <v>1.6783568888888922</v>
          </cell>
          <cell r="S188">
            <v>1.5499687407407414</v>
          </cell>
          <cell r="T188">
            <v>1.8620296296296281</v>
          </cell>
          <cell r="U188">
            <v>1.6522028888888869</v>
          </cell>
          <cell r="V188">
            <v>2.6448869629629606</v>
          </cell>
          <cell r="W188">
            <v>2.4048295555555583</v>
          </cell>
          <cell r="X188">
            <v>2.16399503703704</v>
          </cell>
          <cell r="Y188">
            <v>1.8768951111111072</v>
          </cell>
          <cell r="Z188">
            <v>2.2231554814814807</v>
          </cell>
          <cell r="AA188">
            <v>2.8111531111111105</v>
          </cell>
          <cell r="AB188">
            <v>2.8614896296296308</v>
          </cell>
          <cell r="AC188">
            <v>3.0758894814814823</v>
          </cell>
          <cell r="AD188">
            <v>2.9691829629629609</v>
          </cell>
          <cell r="AE188">
            <v>3.2176551851851798</v>
          </cell>
          <cell r="AF188">
            <v>2.9879525185185152</v>
          </cell>
          <cell r="AG188">
            <v>3.0136962222222223</v>
          </cell>
        </row>
        <row r="195">
          <cell r="C195">
            <v>45931</v>
          </cell>
          <cell r="D195">
            <v>45932</v>
          </cell>
          <cell r="E195">
            <v>45933</v>
          </cell>
          <cell r="F195">
            <v>45934</v>
          </cell>
          <cell r="G195">
            <v>45935</v>
          </cell>
          <cell r="H195">
            <v>45936</v>
          </cell>
          <cell r="I195">
            <v>45937</v>
          </cell>
          <cell r="J195">
            <v>45938</v>
          </cell>
          <cell r="K195">
            <v>45939</v>
          </cell>
          <cell r="L195">
            <v>45940</v>
          </cell>
          <cell r="M195">
            <v>45941</v>
          </cell>
          <cell r="N195">
            <v>45942</v>
          </cell>
          <cell r="O195">
            <v>45943</v>
          </cell>
          <cell r="P195">
            <v>45944</v>
          </cell>
          <cell r="Q195">
            <v>45945</v>
          </cell>
          <cell r="R195">
            <v>45946</v>
          </cell>
          <cell r="S195">
            <v>45947</v>
          </cell>
          <cell r="T195">
            <v>45948</v>
          </cell>
          <cell r="U195">
            <v>45949</v>
          </cell>
          <cell r="V195">
            <v>45950</v>
          </cell>
          <cell r="W195">
            <v>45951</v>
          </cell>
          <cell r="X195">
            <v>45952</v>
          </cell>
          <cell r="Y195">
            <v>45953</v>
          </cell>
          <cell r="Z195">
            <v>45954</v>
          </cell>
          <cell r="AA195">
            <v>45955</v>
          </cell>
          <cell r="AB195">
            <v>45956</v>
          </cell>
          <cell r="AC195">
            <v>45957</v>
          </cell>
          <cell r="AD195">
            <v>45958</v>
          </cell>
          <cell r="AE195">
            <v>45959</v>
          </cell>
          <cell r="AF195">
            <v>45960</v>
          </cell>
          <cell r="AG195">
            <v>45961</v>
          </cell>
        </row>
        <row r="198">
          <cell r="B198" t="str">
            <v>Selisih Hop</v>
          </cell>
          <cell r="C198">
            <v>3.3217385185185186</v>
          </cell>
          <cell r="D198">
            <v>2.8856444444444449</v>
          </cell>
          <cell r="E198">
            <v>3.3351554074074095</v>
          </cell>
          <cell r="F198">
            <v>3.6112998518518538</v>
          </cell>
          <cell r="G198">
            <v>3.5828687407407394</v>
          </cell>
          <cell r="H198">
            <v>3.8192532592592592</v>
          </cell>
          <cell r="I198">
            <v>3.6263702962962974</v>
          </cell>
          <cell r="J198">
            <v>3.499459259259261</v>
          </cell>
          <cell r="K198">
            <v>3.5811581481481483</v>
          </cell>
          <cell r="L198">
            <v>3.9918954814814782</v>
          </cell>
          <cell r="M198">
            <v>3.912759185185184</v>
          </cell>
          <cell r="N198">
            <v>4.3658776296296296</v>
          </cell>
          <cell r="O198">
            <v>3.6851140000000004</v>
          </cell>
          <cell r="P198">
            <v>3.7384028148148154</v>
          </cell>
          <cell r="Q198">
            <v>3.8065528148148147</v>
          </cell>
          <cell r="R198">
            <v>4.2812560000000008</v>
          </cell>
          <cell r="S198">
            <v>3.4354577037037011</v>
          </cell>
          <cell r="T198">
            <v>4.2883954074074069</v>
          </cell>
          <cell r="U198">
            <v>4.0631256296296296</v>
          </cell>
          <cell r="V198">
            <v>4.1212556296296299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9236-2233-4546-988A-33220932B31D}">
  <sheetPr>
    <tabColor rgb="FFFF0000"/>
    <outlinePr summaryBelow="0" summaryRight="0"/>
  </sheetPr>
  <dimension ref="A1:AS945"/>
  <sheetViews>
    <sheetView tabSelected="1" topLeftCell="A182" workbookViewId="0">
      <pane xSplit="2" topLeftCell="C1" activePane="topRight" state="frozen"/>
      <selection pane="topRight" activeCell="G192" sqref="G192"/>
    </sheetView>
  </sheetViews>
  <sheetFormatPr defaultColWidth="12.5703125" defaultRowHeight="15.75" customHeight="1" x14ac:dyDescent="0.2"/>
  <cols>
    <col min="1" max="1" width="10.140625" customWidth="1"/>
    <col min="2" max="2" width="18.140625" customWidth="1"/>
    <col min="3" max="3" width="11.140625" bestFit="1" customWidth="1"/>
    <col min="4" max="4" width="10.7109375" bestFit="1" customWidth="1"/>
    <col min="5" max="17" width="10" customWidth="1"/>
    <col min="18" max="32" width="10.28515625" customWidth="1"/>
    <col min="33" max="33" width="10.85546875" customWidth="1"/>
    <col min="34" max="45" width="11.140625" customWidth="1"/>
  </cols>
  <sheetData>
    <row r="1" spans="1:45" ht="33.75" customHeight="1" x14ac:dyDescent="0.2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33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33.75" hidden="1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33.75" hidden="1" customHeight="1" x14ac:dyDescent="0.2">
      <c r="A4" s="6"/>
      <c r="B4" s="7">
        <v>45352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 ht="33.75" hidden="1" customHeight="1" x14ac:dyDescent="0.2">
      <c r="A5" s="9"/>
      <c r="B5" s="9" t="s">
        <v>1</v>
      </c>
      <c r="C5" s="10">
        <v>45352</v>
      </c>
      <c r="D5" s="10">
        <v>45353</v>
      </c>
      <c r="E5" s="10">
        <v>45354</v>
      </c>
      <c r="F5" s="10">
        <v>45355</v>
      </c>
      <c r="G5" s="10">
        <v>45356</v>
      </c>
      <c r="H5" s="10">
        <v>45357</v>
      </c>
      <c r="I5" s="10">
        <v>45358</v>
      </c>
      <c r="J5" s="10">
        <v>45359</v>
      </c>
      <c r="K5" s="10">
        <v>45360</v>
      </c>
      <c r="L5" s="10">
        <v>45361</v>
      </c>
      <c r="M5" s="10">
        <v>45362</v>
      </c>
      <c r="N5" s="10">
        <v>45363</v>
      </c>
      <c r="O5" s="10">
        <v>45364</v>
      </c>
      <c r="P5" s="10">
        <v>45365</v>
      </c>
      <c r="Q5" s="10">
        <v>45366</v>
      </c>
      <c r="R5" s="10">
        <v>45367</v>
      </c>
      <c r="S5" s="10">
        <v>45368</v>
      </c>
      <c r="T5" s="10">
        <v>45369</v>
      </c>
      <c r="U5" s="10">
        <v>45370</v>
      </c>
      <c r="V5" s="10">
        <v>45371</v>
      </c>
      <c r="W5" s="10">
        <v>45372</v>
      </c>
      <c r="X5" s="10">
        <v>45373</v>
      </c>
      <c r="Y5" s="10">
        <v>45374</v>
      </c>
      <c r="Z5" s="10">
        <v>45375</v>
      </c>
      <c r="AA5" s="10">
        <v>45376</v>
      </c>
      <c r="AB5" s="10">
        <v>45377</v>
      </c>
      <c r="AC5" s="10">
        <v>45378</v>
      </c>
      <c r="AD5" s="10">
        <v>45379</v>
      </c>
      <c r="AE5" s="10">
        <v>45380</v>
      </c>
      <c r="AF5" s="10">
        <v>45381</v>
      </c>
      <c r="AG5" s="10">
        <v>45382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ht="33.75" hidden="1" customHeight="1" x14ac:dyDescent="0.2">
      <c r="A6" s="12" t="s">
        <v>2</v>
      </c>
      <c r="B6" s="13" t="s">
        <v>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>
        <v>8.3699999999999992</v>
      </c>
      <c r="U6" s="14">
        <v>8.31</v>
      </c>
      <c r="V6" s="14">
        <v>8.5299999999999994</v>
      </c>
      <c r="W6" s="14">
        <v>8.43</v>
      </c>
      <c r="X6" s="14">
        <v>8.33</v>
      </c>
      <c r="Y6" s="14"/>
      <c r="Z6" s="14"/>
      <c r="AA6" s="14">
        <v>8.92</v>
      </c>
      <c r="AB6" s="14">
        <v>9.25</v>
      </c>
      <c r="AC6" s="14">
        <v>8.26</v>
      </c>
      <c r="AD6" s="14">
        <v>9.07</v>
      </c>
      <c r="AE6" s="14">
        <v>8.98</v>
      </c>
      <c r="AF6" s="14"/>
      <c r="AG6" s="14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ht="33.75" hidden="1" customHeight="1" x14ac:dyDescent="0.2">
      <c r="A7" s="16"/>
      <c r="B7" s="17" t="s">
        <v>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>
        <v>5.0999999999999996</v>
      </c>
      <c r="U7" s="14">
        <v>4.9000000000000004</v>
      </c>
      <c r="V7" s="14">
        <v>6.69</v>
      </c>
      <c r="W7" s="14">
        <v>6.88</v>
      </c>
      <c r="X7" s="14">
        <v>6.83</v>
      </c>
      <c r="Y7" s="14"/>
      <c r="Z7" s="14"/>
      <c r="AA7" s="14">
        <v>7.21</v>
      </c>
      <c r="AB7" s="14">
        <v>7.75</v>
      </c>
      <c r="AC7" s="14">
        <v>6.8</v>
      </c>
      <c r="AD7" s="14">
        <v>6.83</v>
      </c>
      <c r="AE7" s="14">
        <v>6.77</v>
      </c>
      <c r="AF7" s="14"/>
      <c r="AG7" s="14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 spans="1:45" ht="33.75" hidden="1" customHeight="1" x14ac:dyDescent="0.2">
      <c r="A8" s="18"/>
      <c r="B8" s="19" t="s">
        <v>5</v>
      </c>
      <c r="C8" s="20">
        <f t="shared" ref="C8:AG8" si="0">C6-C7</f>
        <v>0</v>
      </c>
      <c r="D8" s="20">
        <f t="shared" si="0"/>
        <v>0</v>
      </c>
      <c r="E8" s="20">
        <f t="shared" si="0"/>
        <v>0</v>
      </c>
      <c r="F8" s="20">
        <f t="shared" si="0"/>
        <v>0</v>
      </c>
      <c r="G8" s="20">
        <f t="shared" si="0"/>
        <v>0</v>
      </c>
      <c r="H8" s="20">
        <f t="shared" si="0"/>
        <v>0</v>
      </c>
      <c r="I8" s="20">
        <f t="shared" si="0"/>
        <v>0</v>
      </c>
      <c r="J8" s="20">
        <f t="shared" si="0"/>
        <v>0</v>
      </c>
      <c r="K8" s="20">
        <f t="shared" si="0"/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 t="shared" si="0"/>
        <v>0</v>
      </c>
      <c r="S8" s="20">
        <f t="shared" si="0"/>
        <v>0</v>
      </c>
      <c r="T8" s="20">
        <f t="shared" si="0"/>
        <v>3.2699999999999996</v>
      </c>
      <c r="U8" s="20">
        <f t="shared" si="0"/>
        <v>3.41</v>
      </c>
      <c r="V8" s="20">
        <f t="shared" si="0"/>
        <v>1.839999999999999</v>
      </c>
      <c r="W8" s="20">
        <f t="shared" si="0"/>
        <v>1.5499999999999998</v>
      </c>
      <c r="X8" s="20">
        <f t="shared" si="0"/>
        <v>1.5</v>
      </c>
      <c r="Y8" s="20">
        <f t="shared" si="0"/>
        <v>0</v>
      </c>
      <c r="Z8" s="20">
        <f t="shared" si="0"/>
        <v>0</v>
      </c>
      <c r="AA8" s="20">
        <f t="shared" si="0"/>
        <v>1.71</v>
      </c>
      <c r="AB8" s="20">
        <f t="shared" si="0"/>
        <v>1.5</v>
      </c>
      <c r="AC8" s="20">
        <f t="shared" si="0"/>
        <v>1.46</v>
      </c>
      <c r="AD8" s="20">
        <f t="shared" si="0"/>
        <v>2.2400000000000002</v>
      </c>
      <c r="AE8" s="20">
        <f t="shared" si="0"/>
        <v>2.2100000000000009</v>
      </c>
      <c r="AF8" s="20">
        <f t="shared" si="0"/>
        <v>0</v>
      </c>
      <c r="AG8" s="20">
        <f t="shared" si="0"/>
        <v>0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33.75" hidden="1" customHeight="1" x14ac:dyDescent="0.2">
      <c r="A9" s="21" t="s">
        <v>6</v>
      </c>
      <c r="B9" s="13" t="s">
        <v>3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ht="33.75" hidden="1" customHeight="1" x14ac:dyDescent="0.2">
      <c r="A10" s="16"/>
      <c r="B10" s="17" t="s">
        <v>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ht="33.75" hidden="1" customHeight="1" x14ac:dyDescent="0.2">
      <c r="A11" s="18"/>
      <c r="B11" s="19" t="s">
        <v>7</v>
      </c>
      <c r="C11" s="23">
        <f t="shared" ref="C11:AG11" si="1">C9-C10</f>
        <v>0</v>
      </c>
      <c r="D11" s="23">
        <f t="shared" si="1"/>
        <v>0</v>
      </c>
      <c r="E11" s="23">
        <f t="shared" si="1"/>
        <v>0</v>
      </c>
      <c r="F11" s="23">
        <f t="shared" si="1"/>
        <v>0</v>
      </c>
      <c r="G11" s="23">
        <f t="shared" si="1"/>
        <v>0</v>
      </c>
      <c r="H11" s="23">
        <f t="shared" si="1"/>
        <v>0</v>
      </c>
      <c r="I11" s="23">
        <f t="shared" si="1"/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0</v>
      </c>
      <c r="R11" s="23">
        <f t="shared" si="1"/>
        <v>0</v>
      </c>
      <c r="S11" s="23">
        <f t="shared" si="1"/>
        <v>0</v>
      </c>
      <c r="T11" s="23">
        <f t="shared" si="1"/>
        <v>0</v>
      </c>
      <c r="U11" s="23">
        <f t="shared" si="1"/>
        <v>0</v>
      </c>
      <c r="V11" s="23">
        <f t="shared" si="1"/>
        <v>0</v>
      </c>
      <c r="W11" s="23">
        <f t="shared" si="1"/>
        <v>0</v>
      </c>
      <c r="X11" s="23">
        <f t="shared" si="1"/>
        <v>0</v>
      </c>
      <c r="Y11" s="23">
        <f t="shared" si="1"/>
        <v>0</v>
      </c>
      <c r="Z11" s="23">
        <f t="shared" si="1"/>
        <v>0</v>
      </c>
      <c r="AA11" s="23">
        <f t="shared" si="1"/>
        <v>0</v>
      </c>
      <c r="AB11" s="23">
        <f t="shared" si="1"/>
        <v>0</v>
      </c>
      <c r="AC11" s="23">
        <f t="shared" si="1"/>
        <v>0</v>
      </c>
      <c r="AD11" s="23">
        <f t="shared" si="1"/>
        <v>0</v>
      </c>
      <c r="AE11" s="23">
        <f t="shared" si="1"/>
        <v>0</v>
      </c>
      <c r="AF11" s="23">
        <f t="shared" si="1"/>
        <v>0</v>
      </c>
      <c r="AG11" s="23">
        <f t="shared" si="1"/>
        <v>0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ht="33.75" hidden="1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33.75" hidden="1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33.75" hidden="1" customHeight="1" x14ac:dyDescent="0.2">
      <c r="A14" s="6"/>
      <c r="B14" s="7">
        <v>45383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ht="33.75" hidden="1" customHeight="1" x14ac:dyDescent="0.2">
      <c r="A15" s="9"/>
      <c r="B15" s="9" t="s">
        <v>1</v>
      </c>
      <c r="C15" s="10">
        <v>45383</v>
      </c>
      <c r="D15" s="10">
        <v>45384</v>
      </c>
      <c r="E15" s="10">
        <v>45385</v>
      </c>
      <c r="F15" s="10">
        <v>45386</v>
      </c>
      <c r="G15" s="10">
        <v>45387</v>
      </c>
      <c r="H15" s="10">
        <v>45388</v>
      </c>
      <c r="I15" s="10">
        <v>45389</v>
      </c>
      <c r="J15" s="10">
        <v>45390</v>
      </c>
      <c r="K15" s="10">
        <v>45391</v>
      </c>
      <c r="L15" s="10">
        <v>45392</v>
      </c>
      <c r="M15" s="10">
        <v>45393</v>
      </c>
      <c r="N15" s="10">
        <v>45394</v>
      </c>
      <c r="O15" s="10">
        <v>45395</v>
      </c>
      <c r="P15" s="10">
        <v>45396</v>
      </c>
      <c r="Q15" s="10">
        <v>45397</v>
      </c>
      <c r="R15" s="10">
        <v>45398</v>
      </c>
      <c r="S15" s="10">
        <v>45399</v>
      </c>
      <c r="T15" s="10">
        <v>45400</v>
      </c>
      <c r="U15" s="10">
        <v>45401</v>
      </c>
      <c r="V15" s="10">
        <v>45402</v>
      </c>
      <c r="W15" s="10">
        <v>45403</v>
      </c>
      <c r="X15" s="10">
        <v>45404</v>
      </c>
      <c r="Y15" s="10">
        <v>45405</v>
      </c>
      <c r="Z15" s="10">
        <v>45406</v>
      </c>
      <c r="AA15" s="10">
        <v>45407</v>
      </c>
      <c r="AB15" s="10">
        <v>45408</v>
      </c>
      <c r="AC15" s="10">
        <v>45409</v>
      </c>
      <c r="AD15" s="10">
        <v>45410</v>
      </c>
      <c r="AE15" s="10">
        <v>45411</v>
      </c>
      <c r="AF15" s="10">
        <v>45412</v>
      </c>
      <c r="AG15" s="10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33.75" hidden="1" customHeight="1" x14ac:dyDescent="0.2">
      <c r="A16" s="12" t="s">
        <v>2</v>
      </c>
      <c r="B16" s="13" t="s">
        <v>3</v>
      </c>
      <c r="C16" s="14">
        <v>9</v>
      </c>
      <c r="D16" s="14"/>
      <c r="E16" s="14">
        <v>9.2100000000000009</v>
      </c>
      <c r="F16" s="14">
        <v>8.82</v>
      </c>
      <c r="G16" s="14">
        <v>8.33</v>
      </c>
      <c r="H16" s="14"/>
      <c r="I16" s="14"/>
      <c r="J16" s="14">
        <v>9.41</v>
      </c>
      <c r="K16" s="14">
        <v>9.64</v>
      </c>
      <c r="L16" s="14"/>
      <c r="M16" s="14"/>
      <c r="N16" s="14"/>
      <c r="O16" s="14"/>
      <c r="P16" s="14"/>
      <c r="Q16" s="14"/>
      <c r="R16" s="14">
        <v>12.26</v>
      </c>
      <c r="S16" s="14"/>
      <c r="T16" s="14">
        <v>12.37</v>
      </c>
      <c r="U16" s="14">
        <v>12.73</v>
      </c>
      <c r="V16" s="14"/>
      <c r="W16" s="14"/>
      <c r="X16" s="14"/>
      <c r="Y16" s="14">
        <v>14.19</v>
      </c>
      <c r="Z16" s="14">
        <v>13.99</v>
      </c>
      <c r="AA16" s="14">
        <v>14.6</v>
      </c>
      <c r="AB16" s="14">
        <v>14.59</v>
      </c>
      <c r="AC16" s="14"/>
      <c r="AD16" s="14"/>
      <c r="AE16" s="14"/>
      <c r="AF16" s="14">
        <v>15.93</v>
      </c>
      <c r="AG16" s="14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33.75" hidden="1" customHeight="1" x14ac:dyDescent="0.2">
      <c r="A17" s="16"/>
      <c r="B17" s="17" t="s">
        <v>4</v>
      </c>
      <c r="C17" s="14">
        <v>7.22</v>
      </c>
      <c r="D17" s="14"/>
      <c r="E17" s="14">
        <v>7.11</v>
      </c>
      <c r="F17" s="14">
        <v>7.44</v>
      </c>
      <c r="G17" s="14">
        <v>7.07</v>
      </c>
      <c r="H17" s="14"/>
      <c r="I17" s="14"/>
      <c r="J17" s="14">
        <v>8.14</v>
      </c>
      <c r="K17" s="14">
        <v>8.34</v>
      </c>
      <c r="L17" s="14"/>
      <c r="M17" s="14"/>
      <c r="N17" s="14"/>
      <c r="O17" s="14"/>
      <c r="P17" s="14"/>
      <c r="Q17" s="14"/>
      <c r="R17" s="14">
        <v>11.29</v>
      </c>
      <c r="S17" s="14"/>
      <c r="T17" s="14">
        <v>11.66</v>
      </c>
      <c r="U17" s="14">
        <v>11.89</v>
      </c>
      <c r="V17" s="14"/>
      <c r="W17" s="14"/>
      <c r="X17" s="14"/>
      <c r="Y17" s="14">
        <v>13.32</v>
      </c>
      <c r="Z17" s="14">
        <v>13.53</v>
      </c>
      <c r="AA17" s="14">
        <v>13.9</v>
      </c>
      <c r="AB17" s="14">
        <v>13.89</v>
      </c>
      <c r="AC17" s="14"/>
      <c r="AD17" s="14"/>
      <c r="AE17" s="14"/>
      <c r="AF17" s="14">
        <v>15.15</v>
      </c>
      <c r="AG17" s="14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 ht="33.75" hidden="1" customHeight="1" x14ac:dyDescent="0.2">
      <c r="A18" s="18"/>
      <c r="B18" s="19" t="s">
        <v>5</v>
      </c>
      <c r="C18" s="20">
        <f t="shared" ref="C18:AG18" si="2">C16-C17</f>
        <v>1.7800000000000002</v>
      </c>
      <c r="D18" s="20">
        <f t="shared" si="2"/>
        <v>0</v>
      </c>
      <c r="E18" s="20">
        <f t="shared" si="2"/>
        <v>2.1000000000000005</v>
      </c>
      <c r="F18" s="20">
        <f t="shared" si="2"/>
        <v>1.38</v>
      </c>
      <c r="G18" s="20">
        <f t="shared" si="2"/>
        <v>1.2599999999999998</v>
      </c>
      <c r="H18" s="20">
        <f t="shared" si="2"/>
        <v>0</v>
      </c>
      <c r="I18" s="20">
        <f t="shared" si="2"/>
        <v>0</v>
      </c>
      <c r="J18" s="20">
        <f t="shared" si="2"/>
        <v>1.2699999999999996</v>
      </c>
      <c r="K18" s="20">
        <f t="shared" si="2"/>
        <v>1.3000000000000007</v>
      </c>
      <c r="L18" s="20">
        <f t="shared" si="2"/>
        <v>0</v>
      </c>
      <c r="M18" s="20">
        <f t="shared" si="2"/>
        <v>0</v>
      </c>
      <c r="N18" s="20">
        <f t="shared" si="2"/>
        <v>0</v>
      </c>
      <c r="O18" s="20">
        <f t="shared" si="2"/>
        <v>0</v>
      </c>
      <c r="P18" s="20">
        <f t="shared" si="2"/>
        <v>0</v>
      </c>
      <c r="Q18" s="20">
        <f t="shared" si="2"/>
        <v>0</v>
      </c>
      <c r="R18" s="20">
        <f t="shared" si="2"/>
        <v>0.97000000000000064</v>
      </c>
      <c r="S18" s="20">
        <f t="shared" si="2"/>
        <v>0</v>
      </c>
      <c r="T18" s="20">
        <f t="shared" si="2"/>
        <v>0.70999999999999908</v>
      </c>
      <c r="U18" s="20">
        <f t="shared" si="2"/>
        <v>0.83999999999999986</v>
      </c>
      <c r="V18" s="20">
        <f t="shared" si="2"/>
        <v>0</v>
      </c>
      <c r="W18" s="20">
        <f t="shared" si="2"/>
        <v>0</v>
      </c>
      <c r="X18" s="20">
        <f t="shared" si="2"/>
        <v>0</v>
      </c>
      <c r="Y18" s="20">
        <f t="shared" si="2"/>
        <v>0.86999999999999922</v>
      </c>
      <c r="Z18" s="20">
        <f t="shared" si="2"/>
        <v>0.46000000000000085</v>
      </c>
      <c r="AA18" s="20">
        <f t="shared" si="2"/>
        <v>0.69999999999999929</v>
      </c>
      <c r="AB18" s="20">
        <f t="shared" si="2"/>
        <v>0.69999999999999929</v>
      </c>
      <c r="AC18" s="20">
        <f t="shared" si="2"/>
        <v>0</v>
      </c>
      <c r="AD18" s="20">
        <f t="shared" si="2"/>
        <v>0</v>
      </c>
      <c r="AE18" s="20">
        <f t="shared" si="2"/>
        <v>0</v>
      </c>
      <c r="AF18" s="20">
        <f t="shared" si="2"/>
        <v>0.77999999999999936</v>
      </c>
      <c r="AG18" s="20">
        <f t="shared" si="2"/>
        <v>0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 ht="33.75" hidden="1" customHeight="1" x14ac:dyDescent="0.2">
      <c r="A19" s="21" t="s">
        <v>6</v>
      </c>
      <c r="B19" s="13" t="s">
        <v>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5" ht="33.75" hidden="1" customHeight="1" x14ac:dyDescent="0.2">
      <c r="A20" s="16"/>
      <c r="B20" s="17" t="s">
        <v>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5" ht="33.75" hidden="1" customHeight="1" x14ac:dyDescent="0.2">
      <c r="A21" s="18"/>
      <c r="B21" s="19" t="s">
        <v>7</v>
      </c>
      <c r="C21" s="23">
        <f t="shared" ref="C21:AG21" si="3">C19-C20</f>
        <v>0</v>
      </c>
      <c r="D21" s="23">
        <f t="shared" si="3"/>
        <v>0</v>
      </c>
      <c r="E21" s="23">
        <f t="shared" si="3"/>
        <v>0</v>
      </c>
      <c r="F21" s="23">
        <f t="shared" si="3"/>
        <v>0</v>
      </c>
      <c r="G21" s="23">
        <f t="shared" si="3"/>
        <v>0</v>
      </c>
      <c r="H21" s="23">
        <f t="shared" si="3"/>
        <v>0</v>
      </c>
      <c r="I21" s="23">
        <f t="shared" si="3"/>
        <v>0</v>
      </c>
      <c r="J21" s="23">
        <f t="shared" si="3"/>
        <v>0</v>
      </c>
      <c r="K21" s="23">
        <f t="shared" si="3"/>
        <v>0</v>
      </c>
      <c r="L21" s="23">
        <f t="shared" si="3"/>
        <v>0</v>
      </c>
      <c r="M21" s="23">
        <f t="shared" si="3"/>
        <v>0</v>
      </c>
      <c r="N21" s="23">
        <f t="shared" si="3"/>
        <v>0</v>
      </c>
      <c r="O21" s="23">
        <f t="shared" si="3"/>
        <v>0</v>
      </c>
      <c r="P21" s="23">
        <f t="shared" si="3"/>
        <v>0</v>
      </c>
      <c r="Q21" s="23">
        <f t="shared" si="3"/>
        <v>0</v>
      </c>
      <c r="R21" s="23">
        <f t="shared" si="3"/>
        <v>0</v>
      </c>
      <c r="S21" s="23">
        <f t="shared" si="3"/>
        <v>0</v>
      </c>
      <c r="T21" s="23">
        <f t="shared" si="3"/>
        <v>0</v>
      </c>
      <c r="U21" s="23">
        <f t="shared" si="3"/>
        <v>0</v>
      </c>
      <c r="V21" s="23">
        <f t="shared" si="3"/>
        <v>0</v>
      </c>
      <c r="W21" s="23">
        <f t="shared" si="3"/>
        <v>0</v>
      </c>
      <c r="X21" s="23">
        <f t="shared" si="3"/>
        <v>0</v>
      </c>
      <c r="Y21" s="23">
        <f t="shared" si="3"/>
        <v>0</v>
      </c>
      <c r="Z21" s="23">
        <f t="shared" si="3"/>
        <v>0</v>
      </c>
      <c r="AA21" s="23">
        <f t="shared" si="3"/>
        <v>0</v>
      </c>
      <c r="AB21" s="23">
        <f t="shared" si="3"/>
        <v>0</v>
      </c>
      <c r="AC21" s="23">
        <f t="shared" si="3"/>
        <v>0</v>
      </c>
      <c r="AD21" s="23">
        <f t="shared" si="3"/>
        <v>0</v>
      </c>
      <c r="AE21" s="23">
        <f t="shared" si="3"/>
        <v>0</v>
      </c>
      <c r="AF21" s="23">
        <f t="shared" si="3"/>
        <v>0</v>
      </c>
      <c r="AG21" s="23">
        <f t="shared" si="3"/>
        <v>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ht="33.75" hidden="1" customHeight="1" x14ac:dyDescent="0.2"/>
    <row r="23" spans="1:45" ht="33.75" hidden="1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5" ht="33.75" hidden="1" customHeight="1" x14ac:dyDescent="0.2">
      <c r="A24" s="6"/>
      <c r="B24" s="7">
        <v>45413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1:45" ht="33.75" hidden="1" customHeight="1" x14ac:dyDescent="0.2">
      <c r="A25" s="9"/>
      <c r="B25" s="9" t="s">
        <v>1</v>
      </c>
      <c r="C25" s="10">
        <v>45413</v>
      </c>
      <c r="D25" s="10">
        <v>45414</v>
      </c>
      <c r="E25" s="10">
        <v>45415</v>
      </c>
      <c r="F25" s="10">
        <v>45416</v>
      </c>
      <c r="G25" s="10">
        <v>45417</v>
      </c>
      <c r="H25" s="10">
        <v>45418</v>
      </c>
      <c r="I25" s="10">
        <v>45419</v>
      </c>
      <c r="J25" s="10">
        <v>45420</v>
      </c>
      <c r="K25" s="10">
        <v>45421</v>
      </c>
      <c r="L25" s="10">
        <v>45422</v>
      </c>
      <c r="M25" s="10">
        <v>45423</v>
      </c>
      <c r="N25" s="10">
        <v>45424</v>
      </c>
      <c r="O25" s="10">
        <v>45425</v>
      </c>
      <c r="P25" s="10">
        <v>45426</v>
      </c>
      <c r="Q25" s="10">
        <v>45427</v>
      </c>
      <c r="R25" s="10">
        <v>45428</v>
      </c>
      <c r="S25" s="10">
        <v>45429</v>
      </c>
      <c r="T25" s="10">
        <v>45430</v>
      </c>
      <c r="U25" s="10">
        <v>45431</v>
      </c>
      <c r="V25" s="10">
        <v>45432</v>
      </c>
      <c r="W25" s="10">
        <v>45433</v>
      </c>
      <c r="X25" s="10">
        <v>45434</v>
      </c>
      <c r="Y25" s="10">
        <v>45435</v>
      </c>
      <c r="Z25" s="10">
        <v>45436</v>
      </c>
      <c r="AA25" s="10">
        <v>45437</v>
      </c>
      <c r="AB25" s="10">
        <v>45438</v>
      </c>
      <c r="AC25" s="10">
        <v>45439</v>
      </c>
      <c r="AD25" s="10">
        <v>45440</v>
      </c>
      <c r="AE25" s="10">
        <v>45441</v>
      </c>
      <c r="AF25" s="10">
        <v>45442</v>
      </c>
      <c r="AG25" s="10">
        <v>45443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ht="33.75" hidden="1" customHeight="1" x14ac:dyDescent="0.2">
      <c r="A26" s="12" t="s">
        <v>2</v>
      </c>
      <c r="B26" s="13" t="s">
        <v>3</v>
      </c>
      <c r="C26" s="14"/>
      <c r="D26" s="14"/>
      <c r="E26" s="14">
        <v>16.850000000000001</v>
      </c>
      <c r="F26" s="14"/>
      <c r="G26" s="14"/>
      <c r="H26" s="14"/>
      <c r="I26" s="14"/>
      <c r="J26" s="14">
        <v>19.510000000000002</v>
      </c>
      <c r="K26" s="14"/>
      <c r="L26" s="14"/>
      <c r="M26" s="14"/>
      <c r="N26" s="14"/>
      <c r="O26" s="14"/>
      <c r="P26" s="14">
        <v>19.21</v>
      </c>
      <c r="Q26" s="14"/>
      <c r="R26" s="14">
        <v>19.07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>
        <v>19.66</v>
      </c>
      <c r="AD26" s="14"/>
      <c r="AE26" s="14">
        <v>20.16</v>
      </c>
      <c r="AF26" s="14">
        <v>19.84</v>
      </c>
      <c r="AG26" s="14">
        <v>20.09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 spans="1:45" ht="33.75" hidden="1" customHeight="1" x14ac:dyDescent="0.2">
      <c r="A27" s="16"/>
      <c r="B27" s="17" t="s">
        <v>4</v>
      </c>
      <c r="C27" s="14"/>
      <c r="D27" s="14"/>
      <c r="E27" s="14">
        <v>15.96</v>
      </c>
      <c r="F27" s="14"/>
      <c r="G27" s="14"/>
      <c r="H27" s="14"/>
      <c r="I27" s="14"/>
      <c r="J27" s="14">
        <v>18.8</v>
      </c>
      <c r="K27" s="14"/>
      <c r="L27" s="14"/>
      <c r="M27" s="14"/>
      <c r="N27" s="14"/>
      <c r="O27" s="14"/>
      <c r="P27" s="14">
        <v>18.25</v>
      </c>
      <c r="Q27" s="14"/>
      <c r="R27" s="14">
        <v>18.16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>
        <v>18.78</v>
      </c>
      <c r="AD27" s="14"/>
      <c r="AE27" s="14">
        <v>19.32</v>
      </c>
      <c r="AF27" s="14">
        <v>19.16</v>
      </c>
      <c r="AG27" s="14">
        <v>19.239999999999998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 spans="1:45" ht="33.75" hidden="1" customHeight="1" x14ac:dyDescent="0.2">
      <c r="A28" s="18"/>
      <c r="B28" s="19" t="s">
        <v>5</v>
      </c>
      <c r="C28" s="20">
        <f t="shared" ref="C28:AG28" si="4">C26-C27</f>
        <v>0</v>
      </c>
      <c r="D28" s="20">
        <f t="shared" si="4"/>
        <v>0</v>
      </c>
      <c r="E28" s="20">
        <f t="shared" si="4"/>
        <v>0.89000000000000057</v>
      </c>
      <c r="F28" s="20">
        <f t="shared" si="4"/>
        <v>0</v>
      </c>
      <c r="G28" s="20">
        <f t="shared" si="4"/>
        <v>0</v>
      </c>
      <c r="H28" s="20">
        <f t="shared" si="4"/>
        <v>0</v>
      </c>
      <c r="I28" s="20">
        <f t="shared" si="4"/>
        <v>0</v>
      </c>
      <c r="J28" s="20">
        <f t="shared" si="4"/>
        <v>0.71000000000000085</v>
      </c>
      <c r="K28" s="20">
        <f t="shared" si="4"/>
        <v>0</v>
      </c>
      <c r="L28" s="20">
        <f t="shared" si="4"/>
        <v>0</v>
      </c>
      <c r="M28" s="20">
        <f t="shared" si="4"/>
        <v>0</v>
      </c>
      <c r="N28" s="20">
        <f t="shared" si="4"/>
        <v>0</v>
      </c>
      <c r="O28" s="20">
        <f t="shared" si="4"/>
        <v>0</v>
      </c>
      <c r="P28" s="20">
        <f t="shared" si="4"/>
        <v>0.96000000000000085</v>
      </c>
      <c r="Q28" s="20">
        <f t="shared" si="4"/>
        <v>0</v>
      </c>
      <c r="R28" s="20">
        <f t="shared" si="4"/>
        <v>0.91000000000000014</v>
      </c>
      <c r="S28" s="20">
        <f t="shared" si="4"/>
        <v>0</v>
      </c>
      <c r="T28" s="20">
        <f t="shared" si="4"/>
        <v>0</v>
      </c>
      <c r="U28" s="20">
        <f t="shared" si="4"/>
        <v>0</v>
      </c>
      <c r="V28" s="20">
        <f t="shared" si="4"/>
        <v>0</v>
      </c>
      <c r="W28" s="20">
        <f t="shared" si="4"/>
        <v>0</v>
      </c>
      <c r="X28" s="20">
        <f t="shared" si="4"/>
        <v>0</v>
      </c>
      <c r="Y28" s="20">
        <f t="shared" si="4"/>
        <v>0</v>
      </c>
      <c r="Z28" s="20">
        <f t="shared" si="4"/>
        <v>0</v>
      </c>
      <c r="AA28" s="20">
        <f t="shared" si="4"/>
        <v>0</v>
      </c>
      <c r="AB28" s="20">
        <f t="shared" si="4"/>
        <v>0</v>
      </c>
      <c r="AC28" s="20">
        <f t="shared" si="4"/>
        <v>0.87999999999999901</v>
      </c>
      <c r="AD28" s="20">
        <f t="shared" si="4"/>
        <v>0</v>
      </c>
      <c r="AE28" s="20">
        <f t="shared" si="4"/>
        <v>0.83999999999999986</v>
      </c>
      <c r="AF28" s="20">
        <f t="shared" si="4"/>
        <v>0.67999999999999972</v>
      </c>
      <c r="AG28" s="20">
        <f t="shared" si="4"/>
        <v>0.85000000000000142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 ht="33.75" hidden="1" customHeight="1" x14ac:dyDescent="0.2">
      <c r="A29" s="21" t="s">
        <v>6</v>
      </c>
      <c r="B29" s="13" t="s">
        <v>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spans="1:45" ht="33.75" hidden="1" customHeight="1" x14ac:dyDescent="0.2">
      <c r="A30" s="16"/>
      <c r="B30" s="17" t="s">
        <v>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ht="33.75" hidden="1" customHeight="1" x14ac:dyDescent="0.2">
      <c r="A31" s="18"/>
      <c r="B31" s="19" t="s">
        <v>7</v>
      </c>
      <c r="C31" s="23">
        <f t="shared" ref="C31:AG31" si="5">C29-C30</f>
        <v>0</v>
      </c>
      <c r="D31" s="23">
        <f t="shared" si="5"/>
        <v>0</v>
      </c>
      <c r="E31" s="23">
        <f t="shared" si="5"/>
        <v>0</v>
      </c>
      <c r="F31" s="23">
        <f t="shared" si="5"/>
        <v>0</v>
      </c>
      <c r="G31" s="23">
        <f t="shared" si="5"/>
        <v>0</v>
      </c>
      <c r="H31" s="23">
        <f t="shared" si="5"/>
        <v>0</v>
      </c>
      <c r="I31" s="23">
        <f t="shared" si="5"/>
        <v>0</v>
      </c>
      <c r="J31" s="23">
        <f t="shared" si="5"/>
        <v>0</v>
      </c>
      <c r="K31" s="23">
        <f t="shared" si="5"/>
        <v>0</v>
      </c>
      <c r="L31" s="23">
        <f t="shared" si="5"/>
        <v>0</v>
      </c>
      <c r="M31" s="23">
        <f t="shared" si="5"/>
        <v>0</v>
      </c>
      <c r="N31" s="23">
        <f t="shared" si="5"/>
        <v>0</v>
      </c>
      <c r="O31" s="23">
        <f t="shared" si="5"/>
        <v>0</v>
      </c>
      <c r="P31" s="23">
        <f t="shared" si="5"/>
        <v>0</v>
      </c>
      <c r="Q31" s="23">
        <f t="shared" si="5"/>
        <v>0</v>
      </c>
      <c r="R31" s="23">
        <f t="shared" si="5"/>
        <v>0</v>
      </c>
      <c r="S31" s="23">
        <f t="shared" si="5"/>
        <v>0</v>
      </c>
      <c r="T31" s="23">
        <f t="shared" si="5"/>
        <v>0</v>
      </c>
      <c r="U31" s="23">
        <f t="shared" si="5"/>
        <v>0</v>
      </c>
      <c r="V31" s="23">
        <f t="shared" si="5"/>
        <v>0</v>
      </c>
      <c r="W31" s="23">
        <f t="shared" si="5"/>
        <v>0</v>
      </c>
      <c r="X31" s="23">
        <f t="shared" si="5"/>
        <v>0</v>
      </c>
      <c r="Y31" s="23">
        <f t="shared" si="5"/>
        <v>0</v>
      </c>
      <c r="Z31" s="23">
        <f t="shared" si="5"/>
        <v>0</v>
      </c>
      <c r="AA31" s="23">
        <f t="shared" si="5"/>
        <v>0</v>
      </c>
      <c r="AB31" s="23">
        <f t="shared" si="5"/>
        <v>0</v>
      </c>
      <c r="AC31" s="23">
        <f t="shared" si="5"/>
        <v>0</v>
      </c>
      <c r="AD31" s="23">
        <f t="shared" si="5"/>
        <v>0</v>
      </c>
      <c r="AE31" s="23">
        <f t="shared" si="5"/>
        <v>0</v>
      </c>
      <c r="AF31" s="23">
        <f t="shared" si="5"/>
        <v>0</v>
      </c>
      <c r="AG31" s="23">
        <f t="shared" si="5"/>
        <v>0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 spans="1:45" ht="33.75" hidden="1" customHeight="1" x14ac:dyDescent="0.2"/>
    <row r="33" spans="1:45" ht="33.75" hidden="1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 spans="1:45" ht="33.75" hidden="1" customHeight="1" x14ac:dyDescent="0.2">
      <c r="A34" s="6"/>
      <c r="B34" s="7">
        <v>45444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 spans="1:45" ht="33.75" hidden="1" customHeight="1" x14ac:dyDescent="0.2">
      <c r="A35" s="9"/>
      <c r="B35" s="9" t="s">
        <v>1</v>
      </c>
      <c r="C35" s="10">
        <v>45444</v>
      </c>
      <c r="D35" s="10">
        <v>45445</v>
      </c>
      <c r="E35" s="10">
        <v>45446</v>
      </c>
      <c r="F35" s="10">
        <v>45447</v>
      </c>
      <c r="G35" s="10">
        <v>45448</v>
      </c>
      <c r="H35" s="10">
        <v>45449</v>
      </c>
      <c r="I35" s="10">
        <v>45450</v>
      </c>
      <c r="J35" s="10">
        <v>45451</v>
      </c>
      <c r="K35" s="10">
        <v>45452</v>
      </c>
      <c r="L35" s="10">
        <v>45453</v>
      </c>
      <c r="M35" s="10">
        <v>45454</v>
      </c>
      <c r="N35" s="10">
        <v>45455</v>
      </c>
      <c r="O35" s="10">
        <v>45456</v>
      </c>
      <c r="P35" s="10">
        <v>45457</v>
      </c>
      <c r="Q35" s="10">
        <v>45458</v>
      </c>
      <c r="R35" s="10">
        <v>45459</v>
      </c>
      <c r="S35" s="10">
        <v>45460</v>
      </c>
      <c r="T35" s="10">
        <v>45461</v>
      </c>
      <c r="U35" s="10">
        <v>45462</v>
      </c>
      <c r="V35" s="10">
        <v>45463</v>
      </c>
      <c r="W35" s="10">
        <v>45464</v>
      </c>
      <c r="X35" s="10">
        <v>45465</v>
      </c>
      <c r="Y35" s="10">
        <v>45466</v>
      </c>
      <c r="Z35" s="10">
        <v>45467</v>
      </c>
      <c r="AA35" s="10">
        <v>45468</v>
      </c>
      <c r="AB35" s="10">
        <v>45469</v>
      </c>
      <c r="AC35" s="10">
        <v>45470</v>
      </c>
      <c r="AD35" s="10">
        <v>45471</v>
      </c>
      <c r="AE35" s="10">
        <v>45472</v>
      </c>
      <c r="AF35" s="10">
        <v>45473</v>
      </c>
      <c r="AG35" s="10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 spans="1:45" ht="33.75" hidden="1" customHeight="1" x14ac:dyDescent="0.2">
      <c r="A36" s="12" t="s">
        <v>2</v>
      </c>
      <c r="B36" s="13" t="s">
        <v>3</v>
      </c>
      <c r="C36" s="14"/>
      <c r="D36" s="14"/>
      <c r="E36" s="14"/>
      <c r="F36" s="14">
        <v>20.58</v>
      </c>
      <c r="G36" s="14"/>
      <c r="H36" s="14">
        <v>20.11</v>
      </c>
      <c r="I36" s="14">
        <v>19.45</v>
      </c>
      <c r="J36" s="14"/>
      <c r="K36" s="14"/>
      <c r="L36" s="14"/>
      <c r="M36" s="14">
        <v>17.02</v>
      </c>
      <c r="N36" s="14">
        <v>17.510000000000002</v>
      </c>
      <c r="O36" s="14">
        <v>17.670000000000002</v>
      </c>
      <c r="P36" s="14">
        <v>17.239999999999998</v>
      </c>
      <c r="Q36" s="14"/>
      <c r="R36" s="14"/>
      <c r="S36" s="14"/>
      <c r="T36" s="14"/>
      <c r="U36" s="14">
        <v>14.93</v>
      </c>
      <c r="V36" s="14">
        <v>15.42</v>
      </c>
      <c r="W36" s="14"/>
      <c r="X36" s="14"/>
      <c r="Y36" s="14"/>
      <c r="Z36" s="14">
        <v>13.89</v>
      </c>
      <c r="AA36" s="14">
        <v>13.41</v>
      </c>
      <c r="AB36" s="14">
        <v>12.97</v>
      </c>
      <c r="AC36" s="14">
        <v>12.72</v>
      </c>
      <c r="AD36" s="14">
        <v>12.47</v>
      </c>
      <c r="AE36" s="14">
        <v>12.62</v>
      </c>
      <c r="AF36" s="14"/>
      <c r="AG36" s="14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 spans="1:45" ht="33.75" hidden="1" customHeight="1" x14ac:dyDescent="0.2">
      <c r="A37" s="16"/>
      <c r="B37" s="17" t="s">
        <v>4</v>
      </c>
      <c r="C37" s="14"/>
      <c r="D37" s="14"/>
      <c r="E37" s="14"/>
      <c r="F37" s="14">
        <v>19.809999999999999</v>
      </c>
      <c r="G37" s="14"/>
      <c r="H37" s="14">
        <v>19.43</v>
      </c>
      <c r="I37" s="14">
        <v>18.579999999999998</v>
      </c>
      <c r="J37" s="14"/>
      <c r="K37" s="14"/>
      <c r="L37" s="14"/>
      <c r="M37" s="14">
        <v>16.2</v>
      </c>
      <c r="N37" s="14">
        <v>16.690000000000001</v>
      </c>
      <c r="O37" s="14">
        <v>16.71</v>
      </c>
      <c r="P37" s="14">
        <v>16.420000000000002</v>
      </c>
      <c r="Q37" s="14"/>
      <c r="R37" s="14"/>
      <c r="S37" s="14"/>
      <c r="T37" s="14"/>
      <c r="U37" s="14">
        <v>14</v>
      </c>
      <c r="V37" s="14">
        <v>14.61</v>
      </c>
      <c r="W37" s="14"/>
      <c r="X37" s="14"/>
      <c r="Y37" s="14"/>
      <c r="Z37" s="14">
        <v>12.35</v>
      </c>
      <c r="AA37" s="14">
        <v>12</v>
      </c>
      <c r="AB37" s="14">
        <v>11.53</v>
      </c>
      <c r="AC37" s="14">
        <v>11.29</v>
      </c>
      <c r="AD37" s="14">
        <v>11.05</v>
      </c>
      <c r="AE37" s="14">
        <v>10.130000000000001</v>
      </c>
      <c r="AF37" s="14"/>
      <c r="AG37" s="14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 spans="1:45" ht="33.75" hidden="1" customHeight="1" x14ac:dyDescent="0.2">
      <c r="A38" s="18"/>
      <c r="B38" s="19" t="s">
        <v>5</v>
      </c>
      <c r="C38" s="20">
        <f t="shared" ref="C38:AG38" si="6">C36-C37</f>
        <v>0</v>
      </c>
      <c r="D38" s="20">
        <f t="shared" si="6"/>
        <v>0</v>
      </c>
      <c r="E38" s="20">
        <f t="shared" si="6"/>
        <v>0</v>
      </c>
      <c r="F38" s="20">
        <f t="shared" si="6"/>
        <v>0.76999999999999957</v>
      </c>
      <c r="G38" s="20">
        <f t="shared" si="6"/>
        <v>0</v>
      </c>
      <c r="H38" s="20">
        <f t="shared" si="6"/>
        <v>0.67999999999999972</v>
      </c>
      <c r="I38" s="20">
        <f t="shared" si="6"/>
        <v>0.87000000000000099</v>
      </c>
      <c r="J38" s="20">
        <f t="shared" si="6"/>
        <v>0</v>
      </c>
      <c r="K38" s="20">
        <f t="shared" si="6"/>
        <v>0</v>
      </c>
      <c r="L38" s="20">
        <f t="shared" si="6"/>
        <v>0</v>
      </c>
      <c r="M38" s="20">
        <f t="shared" si="6"/>
        <v>0.82000000000000028</v>
      </c>
      <c r="N38" s="20">
        <f t="shared" si="6"/>
        <v>0.82000000000000028</v>
      </c>
      <c r="O38" s="20">
        <f t="shared" si="6"/>
        <v>0.96000000000000085</v>
      </c>
      <c r="P38" s="20">
        <f t="shared" si="6"/>
        <v>0.81999999999999673</v>
      </c>
      <c r="Q38" s="20">
        <f t="shared" si="6"/>
        <v>0</v>
      </c>
      <c r="R38" s="20">
        <f t="shared" si="6"/>
        <v>0</v>
      </c>
      <c r="S38" s="20">
        <f t="shared" si="6"/>
        <v>0</v>
      </c>
      <c r="T38" s="20">
        <f t="shared" si="6"/>
        <v>0</v>
      </c>
      <c r="U38" s="20">
        <f t="shared" si="6"/>
        <v>0.92999999999999972</v>
      </c>
      <c r="V38" s="20">
        <f t="shared" si="6"/>
        <v>0.8100000000000005</v>
      </c>
      <c r="W38" s="20">
        <f t="shared" si="6"/>
        <v>0</v>
      </c>
      <c r="X38" s="20">
        <f t="shared" si="6"/>
        <v>0</v>
      </c>
      <c r="Y38" s="20">
        <f t="shared" si="6"/>
        <v>0</v>
      </c>
      <c r="Z38" s="20">
        <f t="shared" si="6"/>
        <v>1.5400000000000009</v>
      </c>
      <c r="AA38" s="20">
        <f t="shared" si="6"/>
        <v>1.4100000000000001</v>
      </c>
      <c r="AB38" s="20">
        <f t="shared" si="6"/>
        <v>1.4400000000000013</v>
      </c>
      <c r="AC38" s="20">
        <f t="shared" si="6"/>
        <v>1.4300000000000015</v>
      </c>
      <c r="AD38" s="20">
        <f t="shared" si="6"/>
        <v>1.42</v>
      </c>
      <c r="AE38" s="20">
        <f t="shared" si="6"/>
        <v>2.4899999999999984</v>
      </c>
      <c r="AF38" s="20">
        <f t="shared" si="6"/>
        <v>0</v>
      </c>
      <c r="AG38" s="20">
        <f t="shared" si="6"/>
        <v>0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1:45" ht="33.75" hidden="1" customHeight="1" x14ac:dyDescent="0.2">
      <c r="A39" s="21" t="s">
        <v>6</v>
      </c>
      <c r="B39" s="13" t="s">
        <v>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spans="1:45" ht="33.75" hidden="1" customHeight="1" x14ac:dyDescent="0.2">
      <c r="A40" s="16"/>
      <c r="B40" s="17" t="s">
        <v>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spans="1:45" ht="33.75" hidden="1" customHeight="1" x14ac:dyDescent="0.2">
      <c r="A41" s="18"/>
      <c r="B41" s="19" t="s">
        <v>7</v>
      </c>
      <c r="C41" s="23">
        <f t="shared" ref="C41:AG41" si="7">C39-C40</f>
        <v>0</v>
      </c>
      <c r="D41" s="23">
        <f t="shared" si="7"/>
        <v>0</v>
      </c>
      <c r="E41" s="23">
        <f t="shared" si="7"/>
        <v>0</v>
      </c>
      <c r="F41" s="23">
        <f t="shared" si="7"/>
        <v>0</v>
      </c>
      <c r="G41" s="23">
        <f t="shared" si="7"/>
        <v>0</v>
      </c>
      <c r="H41" s="23">
        <f t="shared" si="7"/>
        <v>0</v>
      </c>
      <c r="I41" s="23">
        <f t="shared" si="7"/>
        <v>0</v>
      </c>
      <c r="J41" s="23">
        <f t="shared" si="7"/>
        <v>0</v>
      </c>
      <c r="K41" s="23">
        <f t="shared" si="7"/>
        <v>0</v>
      </c>
      <c r="L41" s="23">
        <f t="shared" si="7"/>
        <v>0</v>
      </c>
      <c r="M41" s="23">
        <f t="shared" si="7"/>
        <v>0</v>
      </c>
      <c r="N41" s="23">
        <f t="shared" si="7"/>
        <v>0</v>
      </c>
      <c r="O41" s="23">
        <f t="shared" si="7"/>
        <v>0</v>
      </c>
      <c r="P41" s="23">
        <f t="shared" si="7"/>
        <v>0</v>
      </c>
      <c r="Q41" s="23">
        <f t="shared" si="7"/>
        <v>0</v>
      </c>
      <c r="R41" s="23">
        <f t="shared" si="7"/>
        <v>0</v>
      </c>
      <c r="S41" s="23">
        <f t="shared" si="7"/>
        <v>0</v>
      </c>
      <c r="T41" s="23">
        <f t="shared" si="7"/>
        <v>0</v>
      </c>
      <c r="U41" s="23">
        <f t="shared" si="7"/>
        <v>0</v>
      </c>
      <c r="V41" s="23">
        <f t="shared" si="7"/>
        <v>0</v>
      </c>
      <c r="W41" s="23">
        <f t="shared" si="7"/>
        <v>0</v>
      </c>
      <c r="X41" s="23">
        <f t="shared" si="7"/>
        <v>0</v>
      </c>
      <c r="Y41" s="23">
        <f t="shared" si="7"/>
        <v>0</v>
      </c>
      <c r="Z41" s="23">
        <f t="shared" si="7"/>
        <v>0</v>
      </c>
      <c r="AA41" s="23">
        <f t="shared" si="7"/>
        <v>0</v>
      </c>
      <c r="AB41" s="23">
        <f t="shared" si="7"/>
        <v>0</v>
      </c>
      <c r="AC41" s="23">
        <f t="shared" si="7"/>
        <v>0</v>
      </c>
      <c r="AD41" s="23">
        <f t="shared" si="7"/>
        <v>0</v>
      </c>
      <c r="AE41" s="23">
        <f t="shared" si="7"/>
        <v>0</v>
      </c>
      <c r="AF41" s="23">
        <f t="shared" si="7"/>
        <v>0</v>
      </c>
      <c r="AG41" s="23">
        <f t="shared" si="7"/>
        <v>0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spans="1:45" ht="33.75" hidden="1" customHeight="1" x14ac:dyDescent="0.2"/>
    <row r="43" spans="1:45" ht="33.75" hidden="1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r="44" spans="1:45" ht="33.75" hidden="1" customHeight="1" x14ac:dyDescent="0.2">
      <c r="A44" s="6"/>
      <c r="B44" s="7">
        <v>45474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pans="1:45" ht="33.75" hidden="1" customHeight="1" x14ac:dyDescent="0.2">
      <c r="A45" s="9"/>
      <c r="B45" s="9" t="s">
        <v>1</v>
      </c>
      <c r="C45" s="10">
        <v>45474</v>
      </c>
      <c r="D45" s="10">
        <v>45475</v>
      </c>
      <c r="E45" s="10">
        <v>45476</v>
      </c>
      <c r="F45" s="10">
        <v>45477</v>
      </c>
      <c r="G45" s="10">
        <v>45478</v>
      </c>
      <c r="H45" s="10">
        <v>45479</v>
      </c>
      <c r="I45" s="10">
        <v>45480</v>
      </c>
      <c r="J45" s="10">
        <v>45481</v>
      </c>
      <c r="K45" s="10">
        <v>45482</v>
      </c>
      <c r="L45" s="10">
        <v>45483</v>
      </c>
      <c r="M45" s="10">
        <v>45484</v>
      </c>
      <c r="N45" s="10">
        <v>45485</v>
      </c>
      <c r="O45" s="10">
        <v>45486</v>
      </c>
      <c r="P45" s="10">
        <v>45487</v>
      </c>
      <c r="Q45" s="10">
        <v>45488</v>
      </c>
      <c r="R45" s="10">
        <v>45489</v>
      </c>
      <c r="S45" s="10">
        <v>45490</v>
      </c>
      <c r="T45" s="10">
        <v>45491</v>
      </c>
      <c r="U45" s="10">
        <v>45492</v>
      </c>
      <c r="V45" s="10">
        <v>45493</v>
      </c>
      <c r="W45" s="10">
        <v>45494</v>
      </c>
      <c r="X45" s="10">
        <v>45495</v>
      </c>
      <c r="Y45" s="10">
        <v>45496</v>
      </c>
      <c r="Z45" s="10">
        <v>45497</v>
      </c>
      <c r="AA45" s="10">
        <v>45498</v>
      </c>
      <c r="AB45" s="10">
        <v>45499</v>
      </c>
      <c r="AC45" s="10">
        <v>45500</v>
      </c>
      <c r="AD45" s="10">
        <v>45501</v>
      </c>
      <c r="AE45" s="10">
        <v>45502</v>
      </c>
      <c r="AF45" s="10">
        <v>45503</v>
      </c>
      <c r="AG45" s="10">
        <v>45504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 spans="1:45" ht="33.75" hidden="1" customHeight="1" x14ac:dyDescent="0.2">
      <c r="A46" s="12" t="s">
        <v>2</v>
      </c>
      <c r="B46" s="13" t="s">
        <v>8</v>
      </c>
      <c r="C46" s="14">
        <v>11.87</v>
      </c>
      <c r="D46" s="14">
        <v>11.48</v>
      </c>
      <c r="E46" s="14">
        <v>11.93</v>
      </c>
      <c r="F46" s="14">
        <v>11.99</v>
      </c>
      <c r="G46" s="14">
        <v>12.14</v>
      </c>
      <c r="H46" s="14"/>
      <c r="I46" s="14"/>
      <c r="J46" s="14">
        <v>12.35</v>
      </c>
      <c r="K46" s="14">
        <v>12.56</v>
      </c>
      <c r="L46" s="14">
        <v>12.02</v>
      </c>
      <c r="M46" s="14">
        <v>11.6</v>
      </c>
      <c r="N46" s="14">
        <v>11.19</v>
      </c>
      <c r="O46" s="14"/>
      <c r="P46" s="14"/>
      <c r="Q46" s="14">
        <v>9.69</v>
      </c>
      <c r="R46" s="14"/>
      <c r="S46" s="14">
        <v>8.41</v>
      </c>
      <c r="T46" s="14">
        <v>7.51</v>
      </c>
      <c r="U46" s="14">
        <v>7.78</v>
      </c>
      <c r="V46" s="14">
        <v>8.14</v>
      </c>
      <c r="W46" s="14">
        <v>7.8</v>
      </c>
      <c r="X46" s="14">
        <v>7.67</v>
      </c>
      <c r="Y46" s="14">
        <v>7.42</v>
      </c>
      <c r="Z46" s="14">
        <v>7.26</v>
      </c>
      <c r="AA46" s="14">
        <v>6.37</v>
      </c>
      <c r="AB46" s="14">
        <v>6.04</v>
      </c>
      <c r="AC46" s="14">
        <v>5.87</v>
      </c>
      <c r="AD46" s="14">
        <v>7.17</v>
      </c>
      <c r="AE46" s="14">
        <v>7.46</v>
      </c>
      <c r="AF46" s="14">
        <v>7.16</v>
      </c>
      <c r="AG46" s="14">
        <v>6.37</v>
      </c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ht="33.75" hidden="1" customHeight="1" x14ac:dyDescent="0.2">
      <c r="A47" s="16"/>
      <c r="B47" s="17" t="s">
        <v>4</v>
      </c>
      <c r="C47" s="14">
        <v>9.4499999999999993</v>
      </c>
      <c r="D47" s="14">
        <v>9.41</v>
      </c>
      <c r="E47" s="14">
        <v>9.6300000000000008</v>
      </c>
      <c r="F47" s="14">
        <v>9.59</v>
      </c>
      <c r="G47" s="14">
        <v>9.7100000000000009</v>
      </c>
      <c r="H47" s="14"/>
      <c r="I47" s="14"/>
      <c r="J47" s="14">
        <v>9.6999999999999993</v>
      </c>
      <c r="K47" s="14">
        <v>9.81</v>
      </c>
      <c r="L47" s="14">
        <v>9.23</v>
      </c>
      <c r="M47" s="14">
        <v>8.6999999999999993</v>
      </c>
      <c r="N47" s="14">
        <v>8.51</v>
      </c>
      <c r="O47" s="14"/>
      <c r="P47" s="14"/>
      <c r="Q47" s="14">
        <v>7.01</v>
      </c>
      <c r="R47" s="14"/>
      <c r="S47" s="14">
        <v>5.52</v>
      </c>
      <c r="T47" s="14">
        <v>5.2</v>
      </c>
      <c r="U47" s="14">
        <v>5.46</v>
      </c>
      <c r="V47" s="14">
        <v>5.59</v>
      </c>
      <c r="W47" s="14">
        <v>6.24</v>
      </c>
      <c r="X47" s="14">
        <v>5.89</v>
      </c>
      <c r="Y47" s="14">
        <v>5.36</v>
      </c>
      <c r="Z47" s="14">
        <v>5.15</v>
      </c>
      <c r="AA47" s="14">
        <v>4.78</v>
      </c>
      <c r="AB47" s="14">
        <v>4.5999999999999996</v>
      </c>
      <c r="AC47" s="14">
        <v>4.76</v>
      </c>
      <c r="AD47" s="14">
        <v>5.32</v>
      </c>
      <c r="AE47" s="14">
        <v>5.76</v>
      </c>
      <c r="AF47" s="14">
        <v>5.66</v>
      </c>
      <c r="AG47" s="14">
        <v>5.39</v>
      </c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ht="33.75" hidden="1" customHeight="1" x14ac:dyDescent="0.2">
      <c r="A48" s="18"/>
      <c r="B48" s="19" t="s">
        <v>5</v>
      </c>
      <c r="C48" s="20">
        <f t="shared" ref="C48:AG48" si="8">C46-C47</f>
        <v>2.42</v>
      </c>
      <c r="D48" s="20">
        <f t="shared" si="8"/>
        <v>2.0700000000000003</v>
      </c>
      <c r="E48" s="20">
        <f t="shared" si="8"/>
        <v>2.2999999999999989</v>
      </c>
      <c r="F48" s="20">
        <f t="shared" si="8"/>
        <v>2.4000000000000004</v>
      </c>
      <c r="G48" s="20">
        <f t="shared" si="8"/>
        <v>2.4299999999999997</v>
      </c>
      <c r="H48" s="20">
        <f t="shared" si="8"/>
        <v>0</v>
      </c>
      <c r="I48" s="20">
        <f t="shared" si="8"/>
        <v>0</v>
      </c>
      <c r="J48" s="20">
        <f t="shared" si="8"/>
        <v>2.6500000000000004</v>
      </c>
      <c r="K48" s="20">
        <f t="shared" si="8"/>
        <v>2.75</v>
      </c>
      <c r="L48" s="20">
        <f t="shared" si="8"/>
        <v>2.7899999999999991</v>
      </c>
      <c r="M48" s="20">
        <f t="shared" si="8"/>
        <v>2.9000000000000004</v>
      </c>
      <c r="N48" s="20">
        <f t="shared" si="8"/>
        <v>2.6799999999999997</v>
      </c>
      <c r="O48" s="20">
        <f t="shared" si="8"/>
        <v>0</v>
      </c>
      <c r="P48" s="20">
        <f t="shared" si="8"/>
        <v>0</v>
      </c>
      <c r="Q48" s="20">
        <f t="shared" si="8"/>
        <v>2.6799999999999997</v>
      </c>
      <c r="R48" s="20">
        <f t="shared" si="8"/>
        <v>0</v>
      </c>
      <c r="S48" s="20">
        <f t="shared" si="8"/>
        <v>2.8900000000000006</v>
      </c>
      <c r="T48" s="20">
        <f t="shared" si="8"/>
        <v>2.3099999999999996</v>
      </c>
      <c r="U48" s="20">
        <f t="shared" si="8"/>
        <v>2.3200000000000003</v>
      </c>
      <c r="V48" s="20">
        <f t="shared" si="8"/>
        <v>2.5500000000000007</v>
      </c>
      <c r="W48" s="20">
        <f t="shared" si="8"/>
        <v>1.5599999999999996</v>
      </c>
      <c r="X48" s="20">
        <f t="shared" si="8"/>
        <v>1.7800000000000002</v>
      </c>
      <c r="Y48" s="20">
        <f t="shared" si="8"/>
        <v>2.0599999999999996</v>
      </c>
      <c r="Z48" s="20">
        <f t="shared" si="8"/>
        <v>2.1099999999999994</v>
      </c>
      <c r="AA48" s="20">
        <f t="shared" si="8"/>
        <v>1.5899999999999999</v>
      </c>
      <c r="AB48" s="20">
        <f t="shared" si="8"/>
        <v>1.4400000000000004</v>
      </c>
      <c r="AC48" s="20">
        <f t="shared" si="8"/>
        <v>1.1100000000000003</v>
      </c>
      <c r="AD48" s="20">
        <f t="shared" si="8"/>
        <v>1.8499999999999996</v>
      </c>
      <c r="AE48" s="20">
        <f t="shared" si="8"/>
        <v>1.7000000000000002</v>
      </c>
      <c r="AF48" s="20">
        <f t="shared" si="8"/>
        <v>1.5</v>
      </c>
      <c r="AG48" s="20">
        <f t="shared" si="8"/>
        <v>0.98000000000000043</v>
      </c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ht="33.75" hidden="1" customHeight="1" x14ac:dyDescent="0.2">
      <c r="A49" s="21" t="s">
        <v>6</v>
      </c>
      <c r="B49" s="13" t="s">
        <v>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>
        <v>101381</v>
      </c>
      <c r="U49" s="22">
        <v>105003</v>
      </c>
      <c r="V49" s="22">
        <v>109937</v>
      </c>
      <c r="W49" s="22">
        <v>105293</v>
      </c>
      <c r="X49" s="22">
        <v>103610</v>
      </c>
      <c r="Y49" s="22">
        <v>100136.701</v>
      </c>
      <c r="Z49" s="22">
        <v>98031.150999999998</v>
      </c>
      <c r="AA49" s="22">
        <v>85996.179000000004</v>
      </c>
      <c r="AB49" s="22">
        <v>81485.303</v>
      </c>
      <c r="AC49" s="22">
        <v>79189.918000000005</v>
      </c>
      <c r="AD49" s="22">
        <v>96758.7</v>
      </c>
      <c r="AE49" s="22">
        <v>100645.90300000001</v>
      </c>
      <c r="AF49" s="22">
        <v>96639.881999999998</v>
      </c>
      <c r="AG49" s="22">
        <v>86005.429000000004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pans="1:45" ht="33.75" hidden="1" customHeight="1" x14ac:dyDescent="0.2">
      <c r="A50" s="16"/>
      <c r="B50" s="17" t="s">
        <v>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>
        <v>70160</v>
      </c>
      <c r="U50" s="22">
        <v>73752</v>
      </c>
      <c r="V50" s="22">
        <v>75502</v>
      </c>
      <c r="W50" s="22">
        <v>84177</v>
      </c>
      <c r="X50" s="22">
        <v>79577</v>
      </c>
      <c r="Y50" s="22">
        <v>72352</v>
      </c>
      <c r="Z50" s="22">
        <v>69485</v>
      </c>
      <c r="AA50" s="22">
        <v>64560</v>
      </c>
      <c r="AB50" s="22">
        <v>62092</v>
      </c>
      <c r="AC50" s="22">
        <v>64267</v>
      </c>
      <c r="AD50" s="22">
        <v>71875</v>
      </c>
      <c r="AE50" s="22">
        <v>77808</v>
      </c>
      <c r="AF50" s="22">
        <v>76375</v>
      </c>
      <c r="AG50" s="22">
        <v>70775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45" ht="33.75" hidden="1" customHeight="1" x14ac:dyDescent="0.2">
      <c r="A51" s="18"/>
      <c r="B51" s="19" t="s">
        <v>7</v>
      </c>
      <c r="C51" s="23">
        <f t="shared" ref="C51:AG51" si="9">C49-C50</f>
        <v>0</v>
      </c>
      <c r="D51" s="23">
        <f t="shared" si="9"/>
        <v>0</v>
      </c>
      <c r="E51" s="23">
        <f t="shared" si="9"/>
        <v>0</v>
      </c>
      <c r="F51" s="23">
        <f t="shared" si="9"/>
        <v>0</v>
      </c>
      <c r="G51" s="23">
        <f t="shared" si="9"/>
        <v>0</v>
      </c>
      <c r="H51" s="23">
        <f t="shared" si="9"/>
        <v>0</v>
      </c>
      <c r="I51" s="23">
        <f t="shared" si="9"/>
        <v>0</v>
      </c>
      <c r="J51" s="23">
        <f t="shared" si="9"/>
        <v>0</v>
      </c>
      <c r="K51" s="23">
        <f t="shared" si="9"/>
        <v>0</v>
      </c>
      <c r="L51" s="23">
        <f t="shared" si="9"/>
        <v>0</v>
      </c>
      <c r="M51" s="23">
        <f t="shared" si="9"/>
        <v>0</v>
      </c>
      <c r="N51" s="23">
        <f t="shared" si="9"/>
        <v>0</v>
      </c>
      <c r="O51" s="23">
        <f t="shared" si="9"/>
        <v>0</v>
      </c>
      <c r="P51" s="23">
        <f t="shared" si="9"/>
        <v>0</v>
      </c>
      <c r="Q51" s="23">
        <f t="shared" si="9"/>
        <v>0</v>
      </c>
      <c r="R51" s="23">
        <f t="shared" si="9"/>
        <v>0</v>
      </c>
      <c r="S51" s="23">
        <f t="shared" si="9"/>
        <v>0</v>
      </c>
      <c r="T51" s="23">
        <f t="shared" si="9"/>
        <v>31221</v>
      </c>
      <c r="U51" s="23">
        <f t="shared" si="9"/>
        <v>31251</v>
      </c>
      <c r="V51" s="23">
        <f t="shared" si="9"/>
        <v>34435</v>
      </c>
      <c r="W51" s="23">
        <f t="shared" si="9"/>
        <v>21116</v>
      </c>
      <c r="X51" s="23">
        <f t="shared" si="9"/>
        <v>24033</v>
      </c>
      <c r="Y51" s="23">
        <f t="shared" si="9"/>
        <v>27784.701000000001</v>
      </c>
      <c r="Z51" s="23">
        <f t="shared" si="9"/>
        <v>28546.150999999998</v>
      </c>
      <c r="AA51" s="23">
        <f t="shared" si="9"/>
        <v>21436.179000000004</v>
      </c>
      <c r="AB51" s="23">
        <f t="shared" si="9"/>
        <v>19393.303</v>
      </c>
      <c r="AC51" s="23">
        <f t="shared" si="9"/>
        <v>14922.918000000005</v>
      </c>
      <c r="AD51" s="23">
        <f t="shared" si="9"/>
        <v>24883.699999999997</v>
      </c>
      <c r="AE51" s="23">
        <f t="shared" si="9"/>
        <v>22837.903000000006</v>
      </c>
      <c r="AF51" s="23">
        <f t="shared" si="9"/>
        <v>20264.881999999998</v>
      </c>
      <c r="AG51" s="23">
        <f t="shared" si="9"/>
        <v>15230.429000000004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spans="1:45" ht="33.75" hidden="1" customHeight="1" x14ac:dyDescent="0.2"/>
    <row r="53" spans="1:45" ht="33.75" hidden="1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r="54" spans="1:45" ht="33.75" hidden="1" customHeight="1" x14ac:dyDescent="0.2">
      <c r="A54" s="6"/>
      <c r="B54" s="7">
        <v>45505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ht="33.75" hidden="1" customHeight="1" x14ac:dyDescent="0.2">
      <c r="A55" s="9"/>
      <c r="B55" s="9" t="s">
        <v>1</v>
      </c>
      <c r="C55" s="10">
        <v>45505</v>
      </c>
      <c r="D55" s="10">
        <v>45506</v>
      </c>
      <c r="E55" s="10">
        <v>45507</v>
      </c>
      <c r="F55" s="10">
        <v>45508</v>
      </c>
      <c r="G55" s="10">
        <v>45509</v>
      </c>
      <c r="H55" s="10">
        <v>45510</v>
      </c>
      <c r="I55" s="10">
        <v>45511</v>
      </c>
      <c r="J55" s="10">
        <v>45512</v>
      </c>
      <c r="K55" s="10">
        <v>45513</v>
      </c>
      <c r="L55" s="10">
        <v>45514</v>
      </c>
      <c r="M55" s="10">
        <v>45515</v>
      </c>
      <c r="N55" s="10">
        <v>45516</v>
      </c>
      <c r="O55" s="10">
        <v>45517</v>
      </c>
      <c r="P55" s="10">
        <v>45518</v>
      </c>
      <c r="Q55" s="10">
        <v>45519</v>
      </c>
      <c r="R55" s="10">
        <v>45520</v>
      </c>
      <c r="S55" s="10">
        <v>45521</v>
      </c>
      <c r="T55" s="10">
        <v>45522</v>
      </c>
      <c r="U55" s="10">
        <v>45523</v>
      </c>
      <c r="V55" s="10">
        <v>45524</v>
      </c>
      <c r="W55" s="10">
        <v>45525</v>
      </c>
      <c r="X55" s="10">
        <v>45526</v>
      </c>
      <c r="Y55" s="10">
        <v>45527</v>
      </c>
      <c r="Z55" s="10">
        <v>45528</v>
      </c>
      <c r="AA55" s="10">
        <v>45529</v>
      </c>
      <c r="AB55" s="10">
        <v>45530</v>
      </c>
      <c r="AC55" s="10">
        <v>45531</v>
      </c>
      <c r="AD55" s="10">
        <v>45532</v>
      </c>
      <c r="AE55" s="10">
        <v>45533</v>
      </c>
      <c r="AF55" s="10">
        <v>45534</v>
      </c>
      <c r="AG55" s="10">
        <v>45535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 spans="1:45" ht="33.75" hidden="1" customHeight="1" x14ac:dyDescent="0.2">
      <c r="A56" s="12" t="s">
        <v>2</v>
      </c>
      <c r="B56" s="13" t="s">
        <v>8</v>
      </c>
      <c r="C56" s="14">
        <v>6.19</v>
      </c>
      <c r="D56" s="14">
        <v>5.49</v>
      </c>
      <c r="E56" s="14">
        <v>6.14</v>
      </c>
      <c r="F56" s="14">
        <v>6.23</v>
      </c>
      <c r="G56" s="14">
        <v>7.03</v>
      </c>
      <c r="H56" s="14">
        <v>7.85</v>
      </c>
      <c r="I56" s="14">
        <v>7.89</v>
      </c>
      <c r="J56" s="14">
        <v>8.5299999999999994</v>
      </c>
      <c r="K56" s="14">
        <v>8.42</v>
      </c>
      <c r="L56" s="14">
        <v>8.7799999999999994</v>
      </c>
      <c r="M56" s="14">
        <v>8.33</v>
      </c>
      <c r="N56" s="14">
        <v>8.99</v>
      </c>
      <c r="O56" s="14">
        <v>9.2200000000000006</v>
      </c>
      <c r="P56" s="14">
        <v>8.9700000000000006</v>
      </c>
      <c r="Q56" s="14">
        <v>9.06</v>
      </c>
      <c r="R56" s="14">
        <v>9.2899999999999991</v>
      </c>
      <c r="S56" s="14">
        <v>9.11</v>
      </c>
      <c r="T56" s="14">
        <v>8.27</v>
      </c>
      <c r="U56" s="14">
        <v>8.58</v>
      </c>
      <c r="V56" s="14">
        <v>8.9</v>
      </c>
      <c r="W56" s="14">
        <v>8.5299999999999994</v>
      </c>
      <c r="X56" s="14">
        <v>8.8000000000000007</v>
      </c>
      <c r="Y56" s="14">
        <v>8.8699999999999992</v>
      </c>
      <c r="Z56" s="14">
        <v>9.0299999999999994</v>
      </c>
      <c r="AA56" s="14">
        <v>8.5299999999999994</v>
      </c>
      <c r="AB56" s="14">
        <v>9.7100000000000009</v>
      </c>
      <c r="AC56" s="14">
        <v>9.58</v>
      </c>
      <c r="AD56" s="14">
        <v>9.43</v>
      </c>
      <c r="AE56" s="14">
        <v>10.16</v>
      </c>
      <c r="AF56" s="14">
        <v>10.07</v>
      </c>
      <c r="AG56" s="14">
        <v>9.4</v>
      </c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 spans="1:45" ht="33.75" hidden="1" customHeight="1" x14ac:dyDescent="0.2">
      <c r="A57" s="16"/>
      <c r="B57" s="17" t="s">
        <v>4</v>
      </c>
      <c r="C57" s="14">
        <v>5.03</v>
      </c>
      <c r="D57" s="14">
        <v>4.8099999999999996</v>
      </c>
      <c r="E57" s="14">
        <v>5.19</v>
      </c>
      <c r="F57" s="14">
        <v>5.32</v>
      </c>
      <c r="G57" s="14">
        <v>6.27</v>
      </c>
      <c r="H57" s="14">
        <v>7.1</v>
      </c>
      <c r="I57" s="14">
        <v>7.42</v>
      </c>
      <c r="J57" s="14">
        <v>7.92</v>
      </c>
      <c r="K57" s="14">
        <v>8.3000000000000007</v>
      </c>
      <c r="L57" s="14">
        <v>8.5299999999999994</v>
      </c>
      <c r="M57" s="14">
        <v>8.31</v>
      </c>
      <c r="N57" s="14">
        <v>8.69</v>
      </c>
      <c r="O57" s="14">
        <v>8.9700000000000006</v>
      </c>
      <c r="P57" s="14">
        <v>8.92</v>
      </c>
      <c r="Q57" s="14">
        <v>9.02</v>
      </c>
      <c r="R57" s="14">
        <v>9.1999999999999993</v>
      </c>
      <c r="S57" s="14">
        <v>9.02</v>
      </c>
      <c r="T57" s="14">
        <v>8.1999999999999993</v>
      </c>
      <c r="U57" s="14">
        <v>8.24</v>
      </c>
      <c r="V57" s="14">
        <v>8.61</v>
      </c>
      <c r="W57" s="14">
        <v>8.3699999999999992</v>
      </c>
      <c r="X57" s="14">
        <v>8.43</v>
      </c>
      <c r="Y57" s="14">
        <v>8.65</v>
      </c>
      <c r="Z57" s="14">
        <v>8.76</v>
      </c>
      <c r="AA57" s="14">
        <v>8.42</v>
      </c>
      <c r="AB57" s="14">
        <v>9.39</v>
      </c>
      <c r="AC57" s="14">
        <v>9.31</v>
      </c>
      <c r="AD57" s="14">
        <v>9.16</v>
      </c>
      <c r="AE57" s="14">
        <v>9.7899999999999991</v>
      </c>
      <c r="AF57" s="14">
        <v>9.7200000000000006</v>
      </c>
      <c r="AG57" s="14">
        <v>9.0399999999999991</v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</row>
    <row r="58" spans="1:45" ht="33.75" hidden="1" customHeight="1" x14ac:dyDescent="0.2">
      <c r="A58" s="18"/>
      <c r="B58" s="19" t="s">
        <v>5</v>
      </c>
      <c r="C58" s="20">
        <f t="shared" ref="C58:AG58" si="10">C56-C57</f>
        <v>1.1600000000000001</v>
      </c>
      <c r="D58" s="20">
        <f t="shared" si="10"/>
        <v>0.6800000000000006</v>
      </c>
      <c r="E58" s="20">
        <f t="shared" si="10"/>
        <v>0.94999999999999929</v>
      </c>
      <c r="F58" s="20">
        <f t="shared" si="10"/>
        <v>0.91000000000000014</v>
      </c>
      <c r="G58" s="20">
        <f t="shared" si="10"/>
        <v>0.76000000000000068</v>
      </c>
      <c r="H58" s="20">
        <f t="shared" si="10"/>
        <v>0.75</v>
      </c>
      <c r="I58" s="20">
        <f t="shared" si="10"/>
        <v>0.46999999999999975</v>
      </c>
      <c r="J58" s="20">
        <f t="shared" si="10"/>
        <v>0.60999999999999943</v>
      </c>
      <c r="K58" s="20">
        <f t="shared" si="10"/>
        <v>0.11999999999999922</v>
      </c>
      <c r="L58" s="20">
        <f t="shared" si="10"/>
        <v>0.25</v>
      </c>
      <c r="M58" s="20">
        <f t="shared" si="10"/>
        <v>1.9999999999999574E-2</v>
      </c>
      <c r="N58" s="20">
        <f t="shared" si="10"/>
        <v>0.30000000000000071</v>
      </c>
      <c r="O58" s="20">
        <f t="shared" si="10"/>
        <v>0.25</v>
      </c>
      <c r="P58" s="20">
        <f t="shared" si="10"/>
        <v>5.0000000000000711E-2</v>
      </c>
      <c r="Q58" s="20">
        <f t="shared" si="10"/>
        <v>4.0000000000000924E-2</v>
      </c>
      <c r="R58" s="20">
        <f t="shared" si="10"/>
        <v>8.9999999999999858E-2</v>
      </c>
      <c r="S58" s="20">
        <f t="shared" si="10"/>
        <v>8.9999999999999858E-2</v>
      </c>
      <c r="T58" s="20">
        <f t="shared" si="10"/>
        <v>7.0000000000000284E-2</v>
      </c>
      <c r="U58" s="20">
        <f t="shared" si="10"/>
        <v>0.33999999999999986</v>
      </c>
      <c r="V58" s="20">
        <f t="shared" si="10"/>
        <v>0.29000000000000092</v>
      </c>
      <c r="W58" s="20">
        <f t="shared" si="10"/>
        <v>0.16000000000000014</v>
      </c>
      <c r="X58" s="20">
        <f t="shared" si="10"/>
        <v>0.37000000000000099</v>
      </c>
      <c r="Y58" s="20">
        <f t="shared" si="10"/>
        <v>0.21999999999999886</v>
      </c>
      <c r="Z58" s="20">
        <f t="shared" si="10"/>
        <v>0.26999999999999957</v>
      </c>
      <c r="AA58" s="20">
        <f t="shared" si="10"/>
        <v>0.10999999999999943</v>
      </c>
      <c r="AB58" s="20">
        <f t="shared" si="10"/>
        <v>0.32000000000000028</v>
      </c>
      <c r="AC58" s="20">
        <f t="shared" si="10"/>
        <v>0.26999999999999957</v>
      </c>
      <c r="AD58" s="20">
        <f t="shared" si="10"/>
        <v>0.26999999999999957</v>
      </c>
      <c r="AE58" s="20">
        <f t="shared" si="10"/>
        <v>0.37000000000000099</v>
      </c>
      <c r="AF58" s="20">
        <f t="shared" si="10"/>
        <v>0.34999999999999964</v>
      </c>
      <c r="AG58" s="20">
        <f t="shared" si="10"/>
        <v>0.36000000000000121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</row>
    <row r="59" spans="1:45" ht="33.75" hidden="1" customHeight="1" x14ac:dyDescent="0.2">
      <c r="A59" s="21" t="s">
        <v>6</v>
      </c>
      <c r="B59" s="13" t="s">
        <v>3</v>
      </c>
      <c r="C59" s="22">
        <v>83623.014999999999</v>
      </c>
      <c r="D59" s="22">
        <v>74132.566000000006</v>
      </c>
      <c r="E59" s="22">
        <v>82918.164999999994</v>
      </c>
      <c r="F59" s="22">
        <v>84102.61</v>
      </c>
      <c r="G59" s="22">
        <v>94916.407999999996</v>
      </c>
      <c r="H59" s="22">
        <v>105923.08</v>
      </c>
      <c r="I59" s="22">
        <v>106559.982</v>
      </c>
      <c r="J59" s="22">
        <v>115168.73699999999</v>
      </c>
      <c r="K59" s="22">
        <v>113669.15700000001</v>
      </c>
      <c r="L59" s="22">
        <v>118521</v>
      </c>
      <c r="M59" s="22">
        <v>112450.95</v>
      </c>
      <c r="N59" s="22">
        <v>121378.14599999999</v>
      </c>
      <c r="O59" s="22">
        <v>124456.556</v>
      </c>
      <c r="P59" s="22">
        <v>121059.624</v>
      </c>
      <c r="Q59" s="22">
        <v>122300.55899999999</v>
      </c>
      <c r="R59" s="22">
        <v>125372.351</v>
      </c>
      <c r="S59" s="22">
        <v>122945.076</v>
      </c>
      <c r="T59" s="22">
        <v>111698.677</v>
      </c>
      <c r="U59" s="22">
        <v>115882.447</v>
      </c>
      <c r="V59" s="22">
        <v>120102.325</v>
      </c>
      <c r="W59" s="22">
        <v>115175.99</v>
      </c>
      <c r="X59" s="22">
        <v>118767.289</v>
      </c>
      <c r="Y59" s="22">
        <v>119777.961</v>
      </c>
      <c r="Z59" s="22">
        <v>121902.394</v>
      </c>
      <c r="AA59" s="22">
        <v>115115.594</v>
      </c>
      <c r="AB59" s="22">
        <v>131025.20299999999</v>
      </c>
      <c r="AC59" s="22">
        <v>129330.626</v>
      </c>
      <c r="AD59" s="22">
        <v>127335.302</v>
      </c>
      <c r="AE59" s="22">
        <v>137111.93900000001</v>
      </c>
      <c r="AF59" s="22">
        <v>136001.959</v>
      </c>
      <c r="AG59" s="22">
        <v>126906.806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spans="1:45" ht="33.75" hidden="1" customHeight="1" x14ac:dyDescent="0.2">
      <c r="A60" s="16"/>
      <c r="B60" s="17" t="s">
        <v>4</v>
      </c>
      <c r="C60" s="22">
        <v>67900</v>
      </c>
      <c r="D60" s="22">
        <v>64950</v>
      </c>
      <c r="E60" s="22">
        <v>70109</v>
      </c>
      <c r="F60" s="22">
        <v>71884</v>
      </c>
      <c r="G60" s="22">
        <v>84684</v>
      </c>
      <c r="H60" s="22">
        <v>95863</v>
      </c>
      <c r="I60" s="22">
        <v>100134</v>
      </c>
      <c r="J60" s="22">
        <v>105970</v>
      </c>
      <c r="K60" s="22">
        <v>112095</v>
      </c>
      <c r="L60" s="22">
        <v>115195</v>
      </c>
      <c r="M60" s="22">
        <v>112150</v>
      </c>
      <c r="N60" s="22">
        <v>117302</v>
      </c>
      <c r="O60" s="22">
        <v>121094</v>
      </c>
      <c r="P60" s="22">
        <v>120401</v>
      </c>
      <c r="Q60" s="22">
        <v>121817</v>
      </c>
      <c r="R60" s="22">
        <v>124212</v>
      </c>
      <c r="S60" s="22">
        <v>121785</v>
      </c>
      <c r="T60" s="22">
        <v>110649</v>
      </c>
      <c r="U60" s="22">
        <v>111239</v>
      </c>
      <c r="V60" s="22">
        <v>116263</v>
      </c>
      <c r="W60" s="22">
        <v>113050</v>
      </c>
      <c r="X60" s="22">
        <v>113845</v>
      </c>
      <c r="Y60" s="22">
        <v>116775</v>
      </c>
      <c r="Z60" s="22">
        <v>118275</v>
      </c>
      <c r="AA60" s="22">
        <v>113800</v>
      </c>
      <c r="AB60" s="22">
        <v>126796</v>
      </c>
      <c r="AC60" s="22">
        <v>125702</v>
      </c>
      <c r="AD60" s="22">
        <v>123610</v>
      </c>
      <c r="AE60" s="22">
        <v>132212</v>
      </c>
      <c r="AF60" s="22">
        <v>131212</v>
      </c>
      <c r="AG60" s="22">
        <v>122060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spans="1:45" ht="33.75" hidden="1" customHeight="1" x14ac:dyDescent="0.2">
      <c r="A61" s="18"/>
      <c r="B61" s="19" t="s">
        <v>7</v>
      </c>
      <c r="C61" s="23">
        <f t="shared" ref="C61:AG61" si="11">C59-C60</f>
        <v>15723.014999999999</v>
      </c>
      <c r="D61" s="23">
        <f t="shared" si="11"/>
        <v>9182.5660000000062</v>
      </c>
      <c r="E61" s="23">
        <f t="shared" si="11"/>
        <v>12809.164999999994</v>
      </c>
      <c r="F61" s="23">
        <f t="shared" si="11"/>
        <v>12218.61</v>
      </c>
      <c r="G61" s="23">
        <f t="shared" si="11"/>
        <v>10232.407999999996</v>
      </c>
      <c r="H61" s="23">
        <f t="shared" si="11"/>
        <v>10060.080000000002</v>
      </c>
      <c r="I61" s="23">
        <f t="shared" si="11"/>
        <v>6425.9820000000036</v>
      </c>
      <c r="J61" s="23">
        <f t="shared" si="11"/>
        <v>9198.7369999999937</v>
      </c>
      <c r="K61" s="23">
        <f t="shared" si="11"/>
        <v>1574.1570000000065</v>
      </c>
      <c r="L61" s="23">
        <f t="shared" si="11"/>
        <v>3326</v>
      </c>
      <c r="M61" s="23">
        <f t="shared" si="11"/>
        <v>300.94999999999709</v>
      </c>
      <c r="N61" s="23">
        <f t="shared" si="11"/>
        <v>4076.1459999999934</v>
      </c>
      <c r="O61" s="23">
        <f t="shared" si="11"/>
        <v>3362.5559999999969</v>
      </c>
      <c r="P61" s="23">
        <f t="shared" si="11"/>
        <v>658.62399999999616</v>
      </c>
      <c r="Q61" s="23">
        <f t="shared" si="11"/>
        <v>483.55899999999383</v>
      </c>
      <c r="R61" s="23">
        <f t="shared" si="11"/>
        <v>1160.3509999999951</v>
      </c>
      <c r="S61" s="23">
        <f t="shared" si="11"/>
        <v>1160.0760000000009</v>
      </c>
      <c r="T61" s="23">
        <f t="shared" si="11"/>
        <v>1049.676999999996</v>
      </c>
      <c r="U61" s="23">
        <f t="shared" si="11"/>
        <v>4643.4470000000001</v>
      </c>
      <c r="V61" s="23">
        <f t="shared" si="11"/>
        <v>3839.3249999999971</v>
      </c>
      <c r="W61" s="23">
        <f t="shared" si="11"/>
        <v>2125.9900000000052</v>
      </c>
      <c r="X61" s="23">
        <f t="shared" si="11"/>
        <v>4922.2890000000043</v>
      </c>
      <c r="Y61" s="23">
        <f t="shared" si="11"/>
        <v>3002.9609999999957</v>
      </c>
      <c r="Z61" s="23">
        <f t="shared" si="11"/>
        <v>3627.3940000000002</v>
      </c>
      <c r="AA61" s="23">
        <f t="shared" si="11"/>
        <v>1315.5939999999973</v>
      </c>
      <c r="AB61" s="23">
        <f t="shared" si="11"/>
        <v>4229.2029999999941</v>
      </c>
      <c r="AC61" s="23">
        <f t="shared" si="11"/>
        <v>3628.6260000000038</v>
      </c>
      <c r="AD61" s="23">
        <f t="shared" si="11"/>
        <v>3725.301999999996</v>
      </c>
      <c r="AE61" s="23">
        <f t="shared" si="11"/>
        <v>4899.939000000013</v>
      </c>
      <c r="AF61" s="23">
        <f t="shared" si="11"/>
        <v>4789.9590000000026</v>
      </c>
      <c r="AG61" s="23">
        <f t="shared" si="11"/>
        <v>4846.8059999999969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 spans="1:45" ht="33.75" hidden="1" customHeight="1" x14ac:dyDescent="0.2"/>
    <row r="63" spans="1:45" ht="33.75" hidden="1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:45" ht="33.75" hidden="1" customHeight="1" x14ac:dyDescent="0.2">
      <c r="A64" s="6"/>
      <c r="B64" s="7">
        <v>45536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 spans="1:45" ht="33.75" hidden="1" customHeight="1" x14ac:dyDescent="0.2">
      <c r="A65" s="9"/>
      <c r="B65" s="9" t="s">
        <v>1</v>
      </c>
      <c r="C65" s="10">
        <v>45536</v>
      </c>
      <c r="D65" s="10">
        <v>45537</v>
      </c>
      <c r="E65" s="10">
        <v>45538</v>
      </c>
      <c r="F65" s="10">
        <v>45539</v>
      </c>
      <c r="G65" s="10">
        <v>45540</v>
      </c>
      <c r="H65" s="10">
        <v>45541</v>
      </c>
      <c r="I65" s="10">
        <v>45542</v>
      </c>
      <c r="J65" s="10">
        <v>45543</v>
      </c>
      <c r="K65" s="10">
        <v>45544</v>
      </c>
      <c r="L65" s="10">
        <v>45545</v>
      </c>
      <c r="M65" s="10">
        <v>45546</v>
      </c>
      <c r="N65" s="10">
        <v>45547</v>
      </c>
      <c r="O65" s="10">
        <v>45548</v>
      </c>
      <c r="P65" s="10">
        <v>45549</v>
      </c>
      <c r="Q65" s="10">
        <v>45550</v>
      </c>
      <c r="R65" s="10">
        <v>45551</v>
      </c>
      <c r="S65" s="10">
        <v>45552</v>
      </c>
      <c r="T65" s="10">
        <v>45553</v>
      </c>
      <c r="U65" s="10">
        <v>45554</v>
      </c>
      <c r="V65" s="10">
        <v>45555</v>
      </c>
      <c r="W65" s="10">
        <v>45556</v>
      </c>
      <c r="X65" s="10">
        <v>45557</v>
      </c>
      <c r="Y65" s="10">
        <v>45558</v>
      </c>
      <c r="Z65" s="10">
        <v>45559</v>
      </c>
      <c r="AA65" s="10">
        <v>45560</v>
      </c>
      <c r="AB65" s="10">
        <v>45561</v>
      </c>
      <c r="AC65" s="10">
        <v>45562</v>
      </c>
      <c r="AD65" s="10">
        <v>45563</v>
      </c>
      <c r="AE65" s="10">
        <v>45564</v>
      </c>
      <c r="AF65" s="10">
        <v>45565</v>
      </c>
      <c r="AG65" s="10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 spans="1:45" ht="33.75" hidden="1" customHeight="1" x14ac:dyDescent="0.2">
      <c r="A66" s="12" t="s">
        <v>2</v>
      </c>
      <c r="B66" s="13" t="s">
        <v>8</v>
      </c>
      <c r="C66" s="14">
        <v>9.4</v>
      </c>
      <c r="D66" s="14">
        <v>10.15</v>
      </c>
      <c r="E66" s="14">
        <v>10.11</v>
      </c>
      <c r="F66" s="14">
        <v>10.83</v>
      </c>
      <c r="G66" s="14">
        <v>11.73</v>
      </c>
      <c r="H66" s="14">
        <v>11.58</v>
      </c>
      <c r="I66" s="14">
        <v>10.18</v>
      </c>
      <c r="J66" s="14">
        <v>10</v>
      </c>
      <c r="K66" s="14">
        <v>10.01</v>
      </c>
      <c r="L66" s="14">
        <v>9.89</v>
      </c>
      <c r="M66" s="14">
        <v>9.1999999999999993</v>
      </c>
      <c r="N66" s="14">
        <v>10.050000000000001</v>
      </c>
      <c r="O66" s="14">
        <v>10.14</v>
      </c>
      <c r="P66" s="14">
        <v>10.210000000000001</v>
      </c>
      <c r="Q66" s="14">
        <v>10.119999999999999</v>
      </c>
      <c r="R66" s="14">
        <v>10.92</v>
      </c>
      <c r="S66" s="14">
        <v>11.07</v>
      </c>
      <c r="T66" s="14">
        <v>10.4</v>
      </c>
      <c r="U66" s="14">
        <v>10.32</v>
      </c>
      <c r="V66" s="14">
        <v>10.97</v>
      </c>
      <c r="W66" s="14">
        <v>11.07</v>
      </c>
      <c r="X66" s="14">
        <v>11.92</v>
      </c>
      <c r="Y66" s="14">
        <v>12.39</v>
      </c>
      <c r="Z66" s="14">
        <v>13.26</v>
      </c>
      <c r="AA66" s="14">
        <v>13.75</v>
      </c>
      <c r="AB66" s="14">
        <v>13.71</v>
      </c>
      <c r="AC66" s="14">
        <v>14.47</v>
      </c>
      <c r="AD66" s="14">
        <v>14.37</v>
      </c>
      <c r="AE66" s="14">
        <v>15.55</v>
      </c>
      <c r="AF66" s="14">
        <v>14.92</v>
      </c>
      <c r="AG66" s="14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</row>
    <row r="67" spans="1:45" ht="33.75" hidden="1" customHeight="1" x14ac:dyDescent="0.2">
      <c r="A67" s="16"/>
      <c r="B67" s="17" t="s">
        <v>4</v>
      </c>
      <c r="C67" s="14">
        <v>9.0399999999999991</v>
      </c>
      <c r="D67" s="14">
        <v>10.02</v>
      </c>
      <c r="E67" s="14">
        <v>9.99</v>
      </c>
      <c r="F67" s="14">
        <v>10.55</v>
      </c>
      <c r="G67" s="14">
        <v>11.2</v>
      </c>
      <c r="H67" s="14">
        <v>11.04</v>
      </c>
      <c r="I67" s="14">
        <v>9.7899999999999991</v>
      </c>
      <c r="J67" s="14">
        <v>9.66</v>
      </c>
      <c r="K67" s="14">
        <v>9.58</v>
      </c>
      <c r="L67" s="14">
        <v>9.41</v>
      </c>
      <c r="M67" s="14">
        <v>8.67</v>
      </c>
      <c r="N67" s="14">
        <v>9.69</v>
      </c>
      <c r="O67" s="14">
        <v>9.73</v>
      </c>
      <c r="P67" s="14">
        <v>9.8000000000000007</v>
      </c>
      <c r="Q67" s="14">
        <v>9.73</v>
      </c>
      <c r="R67" s="14">
        <v>10.47</v>
      </c>
      <c r="S67" s="14">
        <v>10.6</v>
      </c>
      <c r="T67" s="14">
        <v>9.99</v>
      </c>
      <c r="U67" s="14">
        <v>9.89</v>
      </c>
      <c r="V67" s="14">
        <v>10.57</v>
      </c>
      <c r="W67" s="14">
        <v>10.63</v>
      </c>
      <c r="X67" s="14">
        <v>11.57</v>
      </c>
      <c r="Y67" s="14">
        <v>12</v>
      </c>
      <c r="Z67" s="14">
        <v>12.77</v>
      </c>
      <c r="AA67" s="14">
        <v>13.03</v>
      </c>
      <c r="AB67" s="14">
        <v>13.27</v>
      </c>
      <c r="AC67" s="14">
        <v>13.89</v>
      </c>
      <c r="AD67" s="14">
        <v>14</v>
      </c>
      <c r="AE67" s="14">
        <v>15.07</v>
      </c>
      <c r="AF67" s="14">
        <v>14.58</v>
      </c>
      <c r="AG67" s="14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</row>
    <row r="68" spans="1:45" ht="33.75" hidden="1" customHeight="1" x14ac:dyDescent="0.2">
      <c r="A68" s="18"/>
      <c r="B68" s="19" t="s">
        <v>5</v>
      </c>
      <c r="C68" s="20">
        <f t="shared" ref="C68:AG68" si="12">C66-C67</f>
        <v>0.36000000000000121</v>
      </c>
      <c r="D68" s="20">
        <f t="shared" si="12"/>
        <v>0.13000000000000078</v>
      </c>
      <c r="E68" s="20">
        <f t="shared" si="12"/>
        <v>0.11999999999999922</v>
      </c>
      <c r="F68" s="20">
        <f t="shared" si="12"/>
        <v>0.27999999999999936</v>
      </c>
      <c r="G68" s="20">
        <f t="shared" si="12"/>
        <v>0.53000000000000114</v>
      </c>
      <c r="H68" s="20">
        <f t="shared" si="12"/>
        <v>0.54000000000000092</v>
      </c>
      <c r="I68" s="20">
        <f t="shared" si="12"/>
        <v>0.39000000000000057</v>
      </c>
      <c r="J68" s="20">
        <f t="shared" si="12"/>
        <v>0.33999999999999986</v>
      </c>
      <c r="K68" s="20">
        <f t="shared" si="12"/>
        <v>0.42999999999999972</v>
      </c>
      <c r="L68" s="20">
        <f t="shared" si="12"/>
        <v>0.48000000000000043</v>
      </c>
      <c r="M68" s="20">
        <f t="shared" si="12"/>
        <v>0.52999999999999936</v>
      </c>
      <c r="N68" s="20">
        <f t="shared" si="12"/>
        <v>0.36000000000000121</v>
      </c>
      <c r="O68" s="20">
        <f t="shared" si="12"/>
        <v>0.41000000000000014</v>
      </c>
      <c r="P68" s="20">
        <f t="shared" si="12"/>
        <v>0.41000000000000014</v>
      </c>
      <c r="Q68" s="20">
        <f t="shared" si="12"/>
        <v>0.38999999999999879</v>
      </c>
      <c r="R68" s="20">
        <f t="shared" si="12"/>
        <v>0.44999999999999929</v>
      </c>
      <c r="S68" s="20">
        <f t="shared" si="12"/>
        <v>0.47000000000000064</v>
      </c>
      <c r="T68" s="20">
        <f t="shared" si="12"/>
        <v>0.41000000000000014</v>
      </c>
      <c r="U68" s="20">
        <f t="shared" si="12"/>
        <v>0.42999999999999972</v>
      </c>
      <c r="V68" s="20">
        <f t="shared" si="12"/>
        <v>0.40000000000000036</v>
      </c>
      <c r="W68" s="20">
        <f t="shared" si="12"/>
        <v>0.4399999999999995</v>
      </c>
      <c r="X68" s="20">
        <f t="shared" si="12"/>
        <v>0.34999999999999964</v>
      </c>
      <c r="Y68" s="20">
        <f t="shared" si="12"/>
        <v>0.39000000000000057</v>
      </c>
      <c r="Z68" s="20">
        <f t="shared" si="12"/>
        <v>0.49000000000000021</v>
      </c>
      <c r="AA68" s="20">
        <f t="shared" si="12"/>
        <v>0.72000000000000064</v>
      </c>
      <c r="AB68" s="20">
        <f t="shared" si="12"/>
        <v>0.44000000000000128</v>
      </c>
      <c r="AC68" s="20">
        <f t="shared" si="12"/>
        <v>0.58000000000000007</v>
      </c>
      <c r="AD68" s="20">
        <f t="shared" si="12"/>
        <v>0.36999999999999922</v>
      </c>
      <c r="AE68" s="20">
        <f t="shared" si="12"/>
        <v>0.48000000000000043</v>
      </c>
      <c r="AF68" s="20">
        <f t="shared" si="12"/>
        <v>0.33999999999999986</v>
      </c>
      <c r="AG68" s="20">
        <f t="shared" si="12"/>
        <v>0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1:45" ht="33.75" hidden="1" customHeight="1" x14ac:dyDescent="0.2">
      <c r="A69" s="21" t="s">
        <v>6</v>
      </c>
      <c r="B69" s="13" t="s">
        <v>3</v>
      </c>
      <c r="C69" s="22">
        <v>126875.056</v>
      </c>
      <c r="D69" s="22">
        <v>137033.66500000001</v>
      </c>
      <c r="E69" s="22">
        <v>136442.07699999999</v>
      </c>
      <c r="F69" s="22">
        <v>146238.85999999999</v>
      </c>
      <c r="G69" s="22">
        <v>158296.82500000001</v>
      </c>
      <c r="H69" s="22">
        <v>156324.38699999999</v>
      </c>
      <c r="I69" s="22">
        <v>137385.114</v>
      </c>
      <c r="J69" s="22">
        <v>135046.704</v>
      </c>
      <c r="K69" s="22">
        <v>135157.69099999999</v>
      </c>
      <c r="L69" s="22">
        <v>133548.579</v>
      </c>
      <c r="M69" s="22">
        <v>124239.177</v>
      </c>
      <c r="N69" s="22">
        <v>135734.451</v>
      </c>
      <c r="O69" s="22">
        <v>136946.67000000001</v>
      </c>
      <c r="P69" s="22">
        <v>137835.76199999999</v>
      </c>
      <c r="Q69" s="22">
        <v>136600.323</v>
      </c>
      <c r="R69" s="22">
        <v>147362.008</v>
      </c>
      <c r="S69" s="22">
        <v>149452.345</v>
      </c>
      <c r="T69" s="22">
        <v>140458.899</v>
      </c>
      <c r="U69" s="22">
        <v>139267.484</v>
      </c>
      <c r="V69" s="22">
        <v>148100.93</v>
      </c>
      <c r="W69" s="22">
        <v>149398.685</v>
      </c>
      <c r="X69" s="22">
        <v>160861.07699999999</v>
      </c>
      <c r="Y69" s="22">
        <v>167304.27100000001</v>
      </c>
      <c r="Z69" s="22">
        <v>179066.185</v>
      </c>
      <c r="AA69" s="22">
        <v>185603.26300000001</v>
      </c>
      <c r="AB69" s="22">
        <v>185078.14799999999</v>
      </c>
      <c r="AC69" s="22">
        <v>195409.62599999999</v>
      </c>
      <c r="AD69" s="22">
        <v>193983.16899999999</v>
      </c>
      <c r="AE69" s="22">
        <v>209953.16699999999</v>
      </c>
      <c r="AF69" s="22">
        <v>201401.64</v>
      </c>
      <c r="AG69" s="22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ht="33.75" hidden="1" customHeight="1" x14ac:dyDescent="0.2">
      <c r="A70" s="16"/>
      <c r="B70" s="17" t="s">
        <v>4</v>
      </c>
      <c r="C70" s="22">
        <v>122050</v>
      </c>
      <c r="D70" s="22">
        <v>135273</v>
      </c>
      <c r="E70" s="22">
        <v>134821</v>
      </c>
      <c r="F70" s="22">
        <v>142421</v>
      </c>
      <c r="G70" s="22">
        <v>151193</v>
      </c>
      <c r="H70" s="22">
        <v>149020</v>
      </c>
      <c r="I70" s="22">
        <v>132231</v>
      </c>
      <c r="J70" s="22">
        <v>130393</v>
      </c>
      <c r="K70" s="22">
        <v>129335</v>
      </c>
      <c r="L70" s="22">
        <v>127006</v>
      </c>
      <c r="M70" s="22">
        <v>117046</v>
      </c>
      <c r="N70" s="22">
        <v>130835</v>
      </c>
      <c r="O70" s="22">
        <v>131348</v>
      </c>
      <c r="P70" s="22">
        <v>132348</v>
      </c>
      <c r="Q70" s="22">
        <v>131348</v>
      </c>
      <c r="R70" s="22">
        <v>141360</v>
      </c>
      <c r="S70" s="22">
        <v>143166</v>
      </c>
      <c r="T70" s="22">
        <v>134923</v>
      </c>
      <c r="U70" s="22">
        <v>133481</v>
      </c>
      <c r="V70" s="22">
        <v>142681</v>
      </c>
      <c r="W70" s="22">
        <v>143456</v>
      </c>
      <c r="X70" s="22">
        <v>156130</v>
      </c>
      <c r="Y70" s="22">
        <v>161992</v>
      </c>
      <c r="Z70" s="22">
        <v>172384</v>
      </c>
      <c r="AA70" s="22">
        <v>175904</v>
      </c>
      <c r="AB70" s="22">
        <v>179204</v>
      </c>
      <c r="AC70" s="22">
        <v>187547</v>
      </c>
      <c r="AD70" s="22">
        <v>188997</v>
      </c>
      <c r="AE70" s="22">
        <v>203507</v>
      </c>
      <c r="AF70" s="22">
        <v>196832</v>
      </c>
      <c r="AG70" s="22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 spans="1:45" ht="33.75" hidden="1" customHeight="1" x14ac:dyDescent="0.2">
      <c r="A71" s="18"/>
      <c r="B71" s="19" t="s">
        <v>7</v>
      </c>
      <c r="C71" s="23">
        <f t="shared" ref="C71:AG71" si="13">C69-C70</f>
        <v>4825.0559999999969</v>
      </c>
      <c r="D71" s="23">
        <f t="shared" si="13"/>
        <v>1760.6650000000081</v>
      </c>
      <c r="E71" s="23">
        <f t="shared" si="13"/>
        <v>1621.0769999999902</v>
      </c>
      <c r="F71" s="23">
        <f t="shared" si="13"/>
        <v>3817.859999999986</v>
      </c>
      <c r="G71" s="23">
        <f t="shared" si="13"/>
        <v>7103.8250000000116</v>
      </c>
      <c r="H71" s="23">
        <f t="shared" si="13"/>
        <v>7304.3869999999879</v>
      </c>
      <c r="I71" s="23">
        <f t="shared" si="13"/>
        <v>5154.1140000000014</v>
      </c>
      <c r="J71" s="23">
        <f t="shared" si="13"/>
        <v>4653.7039999999979</v>
      </c>
      <c r="K71" s="23">
        <f t="shared" si="13"/>
        <v>5822.6909999999916</v>
      </c>
      <c r="L71" s="23">
        <f t="shared" si="13"/>
        <v>6542.5789999999979</v>
      </c>
      <c r="M71" s="23">
        <f t="shared" si="13"/>
        <v>7193.176999999996</v>
      </c>
      <c r="N71" s="23">
        <f t="shared" si="13"/>
        <v>4899.4510000000009</v>
      </c>
      <c r="O71" s="23">
        <f t="shared" si="13"/>
        <v>5598.6700000000128</v>
      </c>
      <c r="P71" s="23">
        <f t="shared" si="13"/>
        <v>5487.7619999999879</v>
      </c>
      <c r="Q71" s="23">
        <f t="shared" si="13"/>
        <v>5252.323000000004</v>
      </c>
      <c r="R71" s="23">
        <f t="shared" si="13"/>
        <v>6002.0080000000016</v>
      </c>
      <c r="S71" s="23">
        <f t="shared" si="13"/>
        <v>6286.3450000000012</v>
      </c>
      <c r="T71" s="23">
        <f t="shared" si="13"/>
        <v>5535.8990000000049</v>
      </c>
      <c r="U71" s="23">
        <f t="shared" si="13"/>
        <v>5786.4839999999967</v>
      </c>
      <c r="V71" s="23">
        <f t="shared" si="13"/>
        <v>5419.929999999993</v>
      </c>
      <c r="W71" s="23">
        <f t="shared" si="13"/>
        <v>5942.6849999999977</v>
      </c>
      <c r="X71" s="23">
        <f t="shared" si="13"/>
        <v>4731.0769999999902</v>
      </c>
      <c r="Y71" s="23">
        <f t="shared" si="13"/>
        <v>5312.2710000000079</v>
      </c>
      <c r="Z71" s="23">
        <f t="shared" si="13"/>
        <v>6682.1849999999977</v>
      </c>
      <c r="AA71" s="23">
        <f t="shared" si="13"/>
        <v>9699.2630000000063</v>
      </c>
      <c r="AB71" s="23">
        <f t="shared" si="13"/>
        <v>5874.1479999999865</v>
      </c>
      <c r="AC71" s="23">
        <f t="shared" si="13"/>
        <v>7862.6259999999893</v>
      </c>
      <c r="AD71" s="23">
        <f t="shared" si="13"/>
        <v>4986.1689999999944</v>
      </c>
      <c r="AE71" s="23">
        <f t="shared" si="13"/>
        <v>6446.1669999999867</v>
      </c>
      <c r="AF71" s="23">
        <f t="shared" si="13"/>
        <v>4569.640000000014</v>
      </c>
      <c r="AG71" s="23">
        <f t="shared" si="13"/>
        <v>0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spans="1:45" ht="33.75" hidden="1" customHeight="1" x14ac:dyDescent="0.2"/>
    <row r="73" spans="1:45" ht="33.75" hidden="1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:45" ht="33.75" hidden="1" customHeight="1" x14ac:dyDescent="0.2">
      <c r="A74" s="6"/>
      <c r="B74" s="7">
        <v>45566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spans="1:45" ht="33.75" hidden="1" customHeight="1" x14ac:dyDescent="0.2">
      <c r="A75" s="9"/>
      <c r="B75" s="9" t="s">
        <v>1</v>
      </c>
      <c r="C75" s="10">
        <v>45566</v>
      </c>
      <c r="D75" s="10">
        <v>45567</v>
      </c>
      <c r="E75" s="10">
        <v>45568</v>
      </c>
      <c r="F75" s="10">
        <v>45569</v>
      </c>
      <c r="G75" s="10">
        <v>45570</v>
      </c>
      <c r="H75" s="10">
        <v>45571</v>
      </c>
      <c r="I75" s="10">
        <v>45572</v>
      </c>
      <c r="J75" s="10">
        <v>45573</v>
      </c>
      <c r="K75" s="10">
        <v>45574</v>
      </c>
      <c r="L75" s="10">
        <v>45575</v>
      </c>
      <c r="M75" s="10">
        <v>45576</v>
      </c>
      <c r="N75" s="10">
        <v>45577</v>
      </c>
      <c r="O75" s="10">
        <v>45578</v>
      </c>
      <c r="P75" s="10">
        <v>45579</v>
      </c>
      <c r="Q75" s="10">
        <v>45580</v>
      </c>
      <c r="R75" s="10">
        <v>45581</v>
      </c>
      <c r="S75" s="10">
        <v>45582</v>
      </c>
      <c r="T75" s="10">
        <v>45583</v>
      </c>
      <c r="U75" s="10">
        <v>45584</v>
      </c>
      <c r="V75" s="10">
        <v>45585</v>
      </c>
      <c r="W75" s="10">
        <v>45586</v>
      </c>
      <c r="X75" s="10">
        <v>45587</v>
      </c>
      <c r="Y75" s="10">
        <v>45588</v>
      </c>
      <c r="Z75" s="10">
        <v>45589</v>
      </c>
      <c r="AA75" s="10">
        <v>45590</v>
      </c>
      <c r="AB75" s="10">
        <v>45591</v>
      </c>
      <c r="AC75" s="10">
        <v>45592</v>
      </c>
      <c r="AD75" s="10">
        <v>45593</v>
      </c>
      <c r="AE75" s="10">
        <v>45594</v>
      </c>
      <c r="AF75" s="10">
        <v>45595</v>
      </c>
      <c r="AG75" s="10">
        <v>45596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 spans="1:45" ht="33.75" hidden="1" customHeight="1" x14ac:dyDescent="0.2">
      <c r="A76" s="12" t="s">
        <v>2</v>
      </c>
      <c r="B76" s="13" t="s">
        <v>8</v>
      </c>
      <c r="C76" s="14">
        <v>15.43</v>
      </c>
      <c r="D76" s="14">
        <v>15.24</v>
      </c>
      <c r="E76" s="14">
        <v>16.53</v>
      </c>
      <c r="F76" s="14">
        <v>16.77</v>
      </c>
      <c r="G76" s="14">
        <v>17.02</v>
      </c>
      <c r="H76" s="14">
        <v>17.190000000000001</v>
      </c>
      <c r="I76" s="14">
        <v>17.510000000000002</v>
      </c>
      <c r="J76" s="14">
        <v>17.29</v>
      </c>
      <c r="K76" s="14">
        <v>17.53</v>
      </c>
      <c r="L76" s="14">
        <v>17.190000000000001</v>
      </c>
      <c r="M76" s="14">
        <v>17.670000000000002</v>
      </c>
      <c r="N76" s="14">
        <v>17.899999999999999</v>
      </c>
      <c r="O76" s="14">
        <v>18.7</v>
      </c>
      <c r="P76" s="14">
        <v>18.38</v>
      </c>
      <c r="Q76" s="14">
        <v>17.940000000000001</v>
      </c>
      <c r="R76" s="14">
        <v>17.7</v>
      </c>
      <c r="S76" s="14">
        <v>18.02</v>
      </c>
      <c r="T76" s="14">
        <v>17.22</v>
      </c>
      <c r="U76" s="14">
        <v>17.18</v>
      </c>
      <c r="V76" s="14">
        <v>16.78</v>
      </c>
      <c r="W76" s="14">
        <v>16.7</v>
      </c>
      <c r="X76" s="14">
        <v>16.309999999999999</v>
      </c>
      <c r="Y76" s="14">
        <v>16.920000000000002</v>
      </c>
      <c r="Z76" s="14">
        <v>16.73</v>
      </c>
      <c r="AA76" s="14">
        <v>16.89</v>
      </c>
      <c r="AB76" s="14">
        <v>16.579999999999998</v>
      </c>
      <c r="AC76" s="14">
        <v>16.23</v>
      </c>
      <c r="AD76" s="14">
        <v>16.5</v>
      </c>
      <c r="AE76" s="14">
        <v>16.77</v>
      </c>
      <c r="AF76" s="14">
        <v>17.23</v>
      </c>
      <c r="AG76" s="14">
        <v>16.95</v>
      </c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</row>
    <row r="77" spans="1:45" ht="33.75" hidden="1" customHeight="1" x14ac:dyDescent="0.2">
      <c r="A77" s="16"/>
      <c r="B77" s="17" t="s">
        <v>4</v>
      </c>
      <c r="C77" s="14">
        <v>15.11</v>
      </c>
      <c r="D77" s="14">
        <v>14.86</v>
      </c>
      <c r="E77" s="14">
        <v>16.14</v>
      </c>
      <c r="F77" s="14">
        <v>16.39</v>
      </c>
      <c r="G77" s="14">
        <v>16.57</v>
      </c>
      <c r="H77" s="14">
        <v>16.79</v>
      </c>
      <c r="I77" s="14">
        <v>17.09</v>
      </c>
      <c r="J77" s="14">
        <v>16.93</v>
      </c>
      <c r="K77" s="14">
        <v>16.95</v>
      </c>
      <c r="L77" s="14">
        <v>17.03</v>
      </c>
      <c r="M77" s="14">
        <v>17.399999999999999</v>
      </c>
      <c r="N77" s="14">
        <v>17.43</v>
      </c>
      <c r="O77" s="14">
        <v>18.09</v>
      </c>
      <c r="P77" s="14">
        <v>18.07</v>
      </c>
      <c r="Q77" s="14">
        <v>17.7</v>
      </c>
      <c r="R77" s="14">
        <v>17.489999999999998</v>
      </c>
      <c r="S77" s="14">
        <v>17.260000000000002</v>
      </c>
      <c r="T77" s="14">
        <v>16.739999999999998</v>
      </c>
      <c r="U77" s="14">
        <v>16.649999999999999</v>
      </c>
      <c r="V77" s="14">
        <v>16.41</v>
      </c>
      <c r="W77" s="14">
        <v>16.25</v>
      </c>
      <c r="X77" s="14">
        <v>15.79</v>
      </c>
      <c r="Y77" s="14">
        <v>16.22</v>
      </c>
      <c r="Z77" s="14">
        <v>15.68</v>
      </c>
      <c r="AA77" s="14">
        <v>15.83</v>
      </c>
      <c r="AB77" s="14">
        <v>15.82</v>
      </c>
      <c r="AC77" s="14">
        <v>15.64</v>
      </c>
      <c r="AD77" s="14">
        <v>15.82</v>
      </c>
      <c r="AE77" s="14">
        <v>16.25</v>
      </c>
      <c r="AF77" s="14">
        <v>16.82</v>
      </c>
      <c r="AG77" s="14">
        <v>16.649999999999999</v>
      </c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</row>
    <row r="78" spans="1:45" ht="33.75" hidden="1" customHeight="1" x14ac:dyDescent="0.2">
      <c r="A78" s="18"/>
      <c r="B78" s="19" t="s">
        <v>5</v>
      </c>
      <c r="C78" s="20">
        <f t="shared" ref="C78:AG78" si="14">C76-C77</f>
        <v>0.32000000000000028</v>
      </c>
      <c r="D78" s="20">
        <f t="shared" si="14"/>
        <v>0.38000000000000078</v>
      </c>
      <c r="E78" s="20">
        <f t="shared" si="14"/>
        <v>0.39000000000000057</v>
      </c>
      <c r="F78" s="20">
        <f t="shared" si="14"/>
        <v>0.37999999999999901</v>
      </c>
      <c r="G78" s="20">
        <f t="shared" si="14"/>
        <v>0.44999999999999929</v>
      </c>
      <c r="H78" s="20">
        <f t="shared" si="14"/>
        <v>0.40000000000000213</v>
      </c>
      <c r="I78" s="20">
        <f t="shared" si="14"/>
        <v>0.42000000000000171</v>
      </c>
      <c r="J78" s="20">
        <f t="shared" si="14"/>
        <v>0.35999999999999943</v>
      </c>
      <c r="K78" s="20">
        <f t="shared" si="14"/>
        <v>0.58000000000000185</v>
      </c>
      <c r="L78" s="20">
        <f t="shared" si="14"/>
        <v>0.16000000000000014</v>
      </c>
      <c r="M78" s="20">
        <f t="shared" si="14"/>
        <v>0.27000000000000313</v>
      </c>
      <c r="N78" s="20">
        <f t="shared" si="14"/>
        <v>0.46999999999999886</v>
      </c>
      <c r="O78" s="20">
        <f t="shared" si="14"/>
        <v>0.60999999999999943</v>
      </c>
      <c r="P78" s="20">
        <f t="shared" si="14"/>
        <v>0.30999999999999872</v>
      </c>
      <c r="Q78" s="20">
        <f t="shared" si="14"/>
        <v>0.24000000000000199</v>
      </c>
      <c r="R78" s="20">
        <f t="shared" si="14"/>
        <v>0.21000000000000085</v>
      </c>
      <c r="S78" s="20">
        <f t="shared" si="14"/>
        <v>0.75999999999999801</v>
      </c>
      <c r="T78" s="20">
        <f t="shared" si="14"/>
        <v>0.48000000000000043</v>
      </c>
      <c r="U78" s="20">
        <f t="shared" si="14"/>
        <v>0.53000000000000114</v>
      </c>
      <c r="V78" s="20">
        <f t="shared" si="14"/>
        <v>0.37000000000000099</v>
      </c>
      <c r="W78" s="20">
        <f t="shared" si="14"/>
        <v>0.44999999999999929</v>
      </c>
      <c r="X78" s="20">
        <f t="shared" si="14"/>
        <v>0.51999999999999957</v>
      </c>
      <c r="Y78" s="20">
        <f t="shared" si="14"/>
        <v>0.70000000000000284</v>
      </c>
      <c r="Z78" s="20">
        <f t="shared" si="14"/>
        <v>1.0500000000000007</v>
      </c>
      <c r="AA78" s="20">
        <f t="shared" si="14"/>
        <v>1.0600000000000005</v>
      </c>
      <c r="AB78" s="20">
        <f t="shared" si="14"/>
        <v>0.75999999999999801</v>
      </c>
      <c r="AC78" s="20">
        <f t="shared" si="14"/>
        <v>0.58999999999999986</v>
      </c>
      <c r="AD78" s="20">
        <f t="shared" si="14"/>
        <v>0.67999999999999972</v>
      </c>
      <c r="AE78" s="20">
        <f t="shared" si="14"/>
        <v>0.51999999999999957</v>
      </c>
      <c r="AF78" s="20">
        <f t="shared" si="14"/>
        <v>0.41000000000000014</v>
      </c>
      <c r="AG78" s="20">
        <f t="shared" si="14"/>
        <v>0.30000000000000071</v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</row>
    <row r="79" spans="1:45" ht="33.75" hidden="1" customHeight="1" x14ac:dyDescent="0.2">
      <c r="A79" s="21" t="s">
        <v>6</v>
      </c>
      <c r="B79" s="13" t="s">
        <v>3</v>
      </c>
      <c r="C79" s="22">
        <v>208350.318</v>
      </c>
      <c r="D79" s="22">
        <v>205798.97500000001</v>
      </c>
      <c r="E79" s="22">
        <v>223105.90100000001</v>
      </c>
      <c r="F79" s="22">
        <v>226450.837</v>
      </c>
      <c r="G79" s="22">
        <v>229726.79199999999</v>
      </c>
      <c r="H79" s="22">
        <v>232048.114</v>
      </c>
      <c r="I79" s="22">
        <v>236381.264</v>
      </c>
      <c r="J79" s="22">
        <v>233368.304</v>
      </c>
      <c r="K79" s="22">
        <v>236647.79199999999</v>
      </c>
      <c r="L79" s="22">
        <v>232116.65700000001</v>
      </c>
      <c r="M79" s="22">
        <v>238168.94099999999</v>
      </c>
      <c r="N79" s="22">
        <v>241659.46599999999</v>
      </c>
      <c r="O79" s="22">
        <v>252416.84</v>
      </c>
      <c r="P79" s="22">
        <v>248112.31899999999</v>
      </c>
      <c r="Q79" s="22">
        <v>242191.516</v>
      </c>
      <c r="R79" s="22">
        <v>238929.07800000001</v>
      </c>
      <c r="S79" s="22">
        <v>243239.12700000001</v>
      </c>
      <c r="T79" s="22">
        <v>232413.929</v>
      </c>
      <c r="U79" s="22">
        <v>231904.976</v>
      </c>
      <c r="V79" s="22">
        <v>226496.51</v>
      </c>
      <c r="W79" s="22">
        <v>225424.42300000001</v>
      </c>
      <c r="X79" s="22">
        <v>220158.04800000001</v>
      </c>
      <c r="Y79" s="22">
        <v>228467.014</v>
      </c>
      <c r="Z79" s="22">
        <v>225891.307</v>
      </c>
      <c r="AA79" s="22">
        <v>228016.114</v>
      </c>
      <c r="AB79" s="22">
        <v>223816.45</v>
      </c>
      <c r="AC79" s="22">
        <v>219039.508</v>
      </c>
      <c r="AD79" s="22">
        <v>222804.682</v>
      </c>
      <c r="AE79" s="22">
        <v>226362.01699999999</v>
      </c>
      <c r="AF79" s="22">
        <v>232669.568</v>
      </c>
      <c r="AG79" s="22">
        <v>228885.685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</row>
    <row r="80" spans="1:45" ht="33.75" hidden="1" customHeight="1" x14ac:dyDescent="0.2">
      <c r="A80" s="16"/>
      <c r="B80" s="17" t="s">
        <v>4</v>
      </c>
      <c r="C80" s="22">
        <v>204045</v>
      </c>
      <c r="D80" s="22">
        <v>200551</v>
      </c>
      <c r="E80" s="22">
        <v>217844</v>
      </c>
      <c r="F80" s="22">
        <v>221265</v>
      </c>
      <c r="G80" s="22">
        <v>223751</v>
      </c>
      <c r="H80" s="22">
        <v>226730</v>
      </c>
      <c r="I80" s="22">
        <v>230745</v>
      </c>
      <c r="J80" s="22">
        <v>228595</v>
      </c>
      <c r="K80" s="22">
        <v>228837</v>
      </c>
      <c r="L80" s="22">
        <v>230287</v>
      </c>
      <c r="M80" s="22">
        <v>234837</v>
      </c>
      <c r="N80" s="22">
        <v>235337</v>
      </c>
      <c r="O80" s="22">
        <v>244187</v>
      </c>
      <c r="P80" s="22">
        <v>243912</v>
      </c>
      <c r="Q80" s="22">
        <v>238912</v>
      </c>
      <c r="R80" s="22">
        <v>236062</v>
      </c>
      <c r="S80" s="22">
        <v>232996</v>
      </c>
      <c r="T80" s="22">
        <v>226046</v>
      </c>
      <c r="U80" s="22">
        <v>224796</v>
      </c>
      <c r="V80" s="22">
        <v>221471</v>
      </c>
      <c r="W80" s="22">
        <v>219331</v>
      </c>
      <c r="X80" s="22">
        <v>213124</v>
      </c>
      <c r="Y80" s="22">
        <v>218974</v>
      </c>
      <c r="Z80" s="22">
        <v>211674</v>
      </c>
      <c r="AA80" s="22">
        <v>213766</v>
      </c>
      <c r="AB80" s="22">
        <v>213566</v>
      </c>
      <c r="AC80" s="22">
        <v>211191</v>
      </c>
      <c r="AD80" s="22">
        <v>213597</v>
      </c>
      <c r="AE80" s="22">
        <v>219312</v>
      </c>
      <c r="AF80" s="22">
        <v>227100</v>
      </c>
      <c r="AG80" s="22">
        <v>224805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</row>
    <row r="81" spans="1:45" ht="33.75" hidden="1" customHeight="1" x14ac:dyDescent="0.2">
      <c r="A81" s="18"/>
      <c r="B81" s="19" t="s">
        <v>7</v>
      </c>
      <c r="C81" s="23">
        <f t="shared" ref="C81:AG81" si="15">C79-C80</f>
        <v>4305.3179999999993</v>
      </c>
      <c r="D81" s="23">
        <f t="shared" si="15"/>
        <v>5247.9750000000058</v>
      </c>
      <c r="E81" s="23">
        <f t="shared" si="15"/>
        <v>5261.9010000000126</v>
      </c>
      <c r="F81" s="23">
        <f t="shared" si="15"/>
        <v>5185.8369999999995</v>
      </c>
      <c r="G81" s="23">
        <f t="shared" si="15"/>
        <v>5975.7919999999867</v>
      </c>
      <c r="H81" s="23">
        <f t="shared" si="15"/>
        <v>5318.1140000000014</v>
      </c>
      <c r="I81" s="23">
        <f t="shared" si="15"/>
        <v>5636.2639999999956</v>
      </c>
      <c r="J81" s="23">
        <f t="shared" si="15"/>
        <v>4773.3040000000037</v>
      </c>
      <c r="K81" s="23">
        <f t="shared" si="15"/>
        <v>7810.7919999999867</v>
      </c>
      <c r="L81" s="23">
        <f t="shared" si="15"/>
        <v>1829.6570000000065</v>
      </c>
      <c r="M81" s="23">
        <f t="shared" si="15"/>
        <v>3331.9409999999916</v>
      </c>
      <c r="N81" s="23">
        <f t="shared" si="15"/>
        <v>6322.4659999999858</v>
      </c>
      <c r="O81" s="23">
        <f t="shared" si="15"/>
        <v>8229.8399999999965</v>
      </c>
      <c r="P81" s="23">
        <f t="shared" si="15"/>
        <v>4200.3189999999886</v>
      </c>
      <c r="Q81" s="23">
        <f t="shared" si="15"/>
        <v>3279.5160000000033</v>
      </c>
      <c r="R81" s="23">
        <f t="shared" si="15"/>
        <v>2867.0780000000086</v>
      </c>
      <c r="S81" s="23">
        <f t="shared" si="15"/>
        <v>10243.127000000008</v>
      </c>
      <c r="T81" s="23">
        <f t="shared" si="15"/>
        <v>6367.9290000000037</v>
      </c>
      <c r="U81" s="23">
        <f t="shared" si="15"/>
        <v>7108.9759999999951</v>
      </c>
      <c r="V81" s="23">
        <f t="shared" si="15"/>
        <v>5025.5100000000093</v>
      </c>
      <c r="W81" s="23">
        <f t="shared" si="15"/>
        <v>6093.4230000000098</v>
      </c>
      <c r="X81" s="23">
        <f t="shared" si="15"/>
        <v>7034.0480000000098</v>
      </c>
      <c r="Y81" s="23">
        <f t="shared" si="15"/>
        <v>9493.0139999999956</v>
      </c>
      <c r="Z81" s="23">
        <f t="shared" si="15"/>
        <v>14217.307000000001</v>
      </c>
      <c r="AA81" s="23">
        <f t="shared" si="15"/>
        <v>14250.114000000001</v>
      </c>
      <c r="AB81" s="23">
        <f t="shared" si="15"/>
        <v>10250.450000000012</v>
      </c>
      <c r="AC81" s="23">
        <f t="shared" si="15"/>
        <v>7848.5080000000016</v>
      </c>
      <c r="AD81" s="23">
        <f t="shared" si="15"/>
        <v>9207.6820000000007</v>
      </c>
      <c r="AE81" s="23">
        <f t="shared" si="15"/>
        <v>7050.0169999999925</v>
      </c>
      <c r="AF81" s="23">
        <f t="shared" si="15"/>
        <v>5569.5679999999993</v>
      </c>
      <c r="AG81" s="23">
        <f t="shared" si="15"/>
        <v>4080.6849999999977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ht="33.75" hidden="1" customHeight="1" x14ac:dyDescent="0.2"/>
    <row r="83" spans="1:45" ht="33.75" hidden="1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 spans="1:45" ht="33.75" hidden="1" customHeight="1" x14ac:dyDescent="0.2">
      <c r="A84" s="6"/>
      <c r="B84" s="7">
        <v>45597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 spans="1:45" ht="33.75" hidden="1" customHeight="1" x14ac:dyDescent="0.2">
      <c r="A85" s="9"/>
      <c r="B85" s="9" t="s">
        <v>1</v>
      </c>
      <c r="C85" s="10">
        <v>45597</v>
      </c>
      <c r="D85" s="10">
        <v>45598</v>
      </c>
      <c r="E85" s="10">
        <v>45599</v>
      </c>
      <c r="F85" s="10">
        <v>45600</v>
      </c>
      <c r="G85" s="10">
        <v>45601</v>
      </c>
      <c r="H85" s="10">
        <v>45602</v>
      </c>
      <c r="I85" s="10">
        <v>45603</v>
      </c>
      <c r="J85" s="10">
        <v>45604</v>
      </c>
      <c r="K85" s="10">
        <v>45605</v>
      </c>
      <c r="L85" s="10">
        <v>45606</v>
      </c>
      <c r="M85" s="10">
        <v>45607</v>
      </c>
      <c r="N85" s="10">
        <v>45608</v>
      </c>
      <c r="O85" s="10">
        <v>45609</v>
      </c>
      <c r="P85" s="10">
        <v>45610</v>
      </c>
      <c r="Q85" s="10">
        <v>45611</v>
      </c>
      <c r="R85" s="10">
        <v>45612</v>
      </c>
      <c r="S85" s="10">
        <v>45613</v>
      </c>
      <c r="T85" s="10">
        <v>45614</v>
      </c>
      <c r="U85" s="10">
        <v>45615</v>
      </c>
      <c r="V85" s="10">
        <v>45616</v>
      </c>
      <c r="W85" s="10">
        <v>45617</v>
      </c>
      <c r="X85" s="10">
        <v>45618</v>
      </c>
      <c r="Y85" s="10">
        <v>45619</v>
      </c>
      <c r="Z85" s="10">
        <v>45620</v>
      </c>
      <c r="AA85" s="10">
        <v>45621</v>
      </c>
      <c r="AB85" s="10">
        <v>45622</v>
      </c>
      <c r="AC85" s="10">
        <v>45623</v>
      </c>
      <c r="AD85" s="10">
        <v>45624</v>
      </c>
      <c r="AE85" s="10">
        <v>45625</v>
      </c>
      <c r="AF85" s="10">
        <v>45626</v>
      </c>
      <c r="AG85" s="10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 spans="1:45" ht="33.75" hidden="1" customHeight="1" x14ac:dyDescent="0.2">
      <c r="A86" s="12" t="s">
        <v>2</v>
      </c>
      <c r="B86" s="13" t="s">
        <v>8</v>
      </c>
      <c r="C86" s="14">
        <v>16.63</v>
      </c>
      <c r="D86" s="14">
        <v>16.739999999999998</v>
      </c>
      <c r="E86" s="14">
        <v>16.47</v>
      </c>
      <c r="F86" s="14">
        <v>16.23</v>
      </c>
      <c r="G86" s="14">
        <v>16.600000000000001</v>
      </c>
      <c r="H86" s="14">
        <v>17.010000000000002</v>
      </c>
      <c r="I86" s="14">
        <v>16.73</v>
      </c>
      <c r="J86" s="14">
        <v>17.68</v>
      </c>
      <c r="K86" s="14">
        <v>17.79</v>
      </c>
      <c r="L86" s="14">
        <v>18.440000000000001</v>
      </c>
      <c r="M86" s="14">
        <v>18.55</v>
      </c>
      <c r="N86" s="14">
        <v>19.11</v>
      </c>
      <c r="O86" s="14">
        <v>19.7</v>
      </c>
      <c r="P86" s="14">
        <v>18.98</v>
      </c>
      <c r="Q86" s="14">
        <v>18.96</v>
      </c>
      <c r="R86" s="14">
        <v>19.61</v>
      </c>
      <c r="S86" s="14">
        <v>19.09</v>
      </c>
      <c r="T86" s="14">
        <v>18.149999999999999</v>
      </c>
      <c r="U86" s="14">
        <v>18</v>
      </c>
      <c r="V86" s="14">
        <v>18.32</v>
      </c>
      <c r="W86" s="14">
        <v>17.96</v>
      </c>
      <c r="X86" s="14">
        <v>18.329999999999998</v>
      </c>
      <c r="Y86" s="14">
        <v>18.78</v>
      </c>
      <c r="Z86" s="14">
        <v>18.420000000000002</v>
      </c>
      <c r="AA86" s="14">
        <v>18.28</v>
      </c>
      <c r="AB86" s="14">
        <v>18.739999999999998</v>
      </c>
      <c r="AC86" s="14">
        <v>19.079999999999998</v>
      </c>
      <c r="AD86" s="14">
        <v>18.84</v>
      </c>
      <c r="AE86" s="14">
        <v>19.899999999999999</v>
      </c>
      <c r="AF86" s="14">
        <v>20.329999999999998</v>
      </c>
      <c r="AG86" s="14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</row>
    <row r="87" spans="1:45" ht="33.75" hidden="1" customHeight="1" x14ac:dyDescent="0.2">
      <c r="A87" s="16"/>
      <c r="B87" s="17" t="s">
        <v>4</v>
      </c>
      <c r="C87" s="14">
        <v>16.38</v>
      </c>
      <c r="D87" s="14">
        <v>16.510000000000002</v>
      </c>
      <c r="E87" s="14">
        <v>16.149999999999999</v>
      </c>
      <c r="F87" s="14">
        <v>16</v>
      </c>
      <c r="G87" s="14">
        <v>16.32</v>
      </c>
      <c r="H87" s="14">
        <v>16.43</v>
      </c>
      <c r="I87" s="14">
        <v>16.28</v>
      </c>
      <c r="J87" s="14">
        <v>17.14</v>
      </c>
      <c r="K87" s="14">
        <v>17.309999999999999</v>
      </c>
      <c r="L87" s="14">
        <v>17.95</v>
      </c>
      <c r="M87" s="14">
        <v>18.3</v>
      </c>
      <c r="N87" s="14">
        <v>18.850000000000001</v>
      </c>
      <c r="O87" s="14">
        <v>19.079999999999998</v>
      </c>
      <c r="P87" s="14">
        <v>18.690000000000001</v>
      </c>
      <c r="Q87" s="14">
        <v>18.48</v>
      </c>
      <c r="R87" s="14">
        <v>18.8</v>
      </c>
      <c r="S87" s="14">
        <v>18.600000000000001</v>
      </c>
      <c r="T87" s="14">
        <v>17.68</v>
      </c>
      <c r="U87" s="14">
        <v>17.350000000000001</v>
      </c>
      <c r="V87" s="14">
        <v>17.670000000000002</v>
      </c>
      <c r="W87" s="14">
        <v>17.440000000000001</v>
      </c>
      <c r="X87" s="14">
        <v>17.600000000000001</v>
      </c>
      <c r="Y87" s="14">
        <v>17.71</v>
      </c>
      <c r="Z87" s="14">
        <v>17.399999999999999</v>
      </c>
      <c r="AA87" s="14">
        <v>17.21</v>
      </c>
      <c r="AB87" s="14">
        <v>17.68</v>
      </c>
      <c r="AC87" s="14">
        <v>18.27</v>
      </c>
      <c r="AD87" s="14">
        <v>18.3</v>
      </c>
      <c r="AE87" s="14">
        <v>19.21</v>
      </c>
      <c r="AF87" s="14">
        <v>19.64</v>
      </c>
      <c r="AG87" s="14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</row>
    <row r="88" spans="1:45" ht="33.75" hidden="1" customHeight="1" x14ac:dyDescent="0.2">
      <c r="A88" s="18"/>
      <c r="B88" s="19" t="s">
        <v>5</v>
      </c>
      <c r="C88" s="20">
        <f t="shared" ref="C88:AG88" si="16">C86-C87</f>
        <v>0.25</v>
      </c>
      <c r="D88" s="20">
        <f t="shared" si="16"/>
        <v>0.22999999999999687</v>
      </c>
      <c r="E88" s="20">
        <f t="shared" si="16"/>
        <v>0.32000000000000028</v>
      </c>
      <c r="F88" s="20">
        <f t="shared" si="16"/>
        <v>0.23000000000000043</v>
      </c>
      <c r="G88" s="20">
        <f t="shared" si="16"/>
        <v>0.28000000000000114</v>
      </c>
      <c r="H88" s="20">
        <f t="shared" si="16"/>
        <v>0.58000000000000185</v>
      </c>
      <c r="I88" s="20">
        <f t="shared" si="16"/>
        <v>0.44999999999999929</v>
      </c>
      <c r="J88" s="20">
        <f t="shared" si="16"/>
        <v>0.53999999999999915</v>
      </c>
      <c r="K88" s="20">
        <f t="shared" si="16"/>
        <v>0.48000000000000043</v>
      </c>
      <c r="L88" s="20">
        <f t="shared" si="16"/>
        <v>0.49000000000000199</v>
      </c>
      <c r="M88" s="20">
        <f t="shared" si="16"/>
        <v>0.25</v>
      </c>
      <c r="N88" s="20">
        <f t="shared" si="16"/>
        <v>0.25999999999999801</v>
      </c>
      <c r="O88" s="20">
        <f t="shared" si="16"/>
        <v>0.62000000000000099</v>
      </c>
      <c r="P88" s="20">
        <f t="shared" si="16"/>
        <v>0.28999999999999915</v>
      </c>
      <c r="Q88" s="20">
        <f t="shared" si="16"/>
        <v>0.48000000000000043</v>
      </c>
      <c r="R88" s="20">
        <f t="shared" si="16"/>
        <v>0.80999999999999872</v>
      </c>
      <c r="S88" s="20">
        <f t="shared" si="16"/>
        <v>0.48999999999999844</v>
      </c>
      <c r="T88" s="20">
        <f t="shared" si="16"/>
        <v>0.46999999999999886</v>
      </c>
      <c r="U88" s="20">
        <f t="shared" si="16"/>
        <v>0.64999999999999858</v>
      </c>
      <c r="V88" s="20">
        <f t="shared" si="16"/>
        <v>0.64999999999999858</v>
      </c>
      <c r="W88" s="20">
        <f t="shared" si="16"/>
        <v>0.51999999999999957</v>
      </c>
      <c r="X88" s="20">
        <f t="shared" si="16"/>
        <v>0.72999999999999687</v>
      </c>
      <c r="Y88" s="20">
        <f t="shared" si="16"/>
        <v>1.0700000000000003</v>
      </c>
      <c r="Z88" s="20">
        <f t="shared" si="16"/>
        <v>1.0200000000000031</v>
      </c>
      <c r="AA88" s="20">
        <f t="shared" si="16"/>
        <v>1.0700000000000003</v>
      </c>
      <c r="AB88" s="20">
        <f t="shared" si="16"/>
        <v>1.0599999999999987</v>
      </c>
      <c r="AC88" s="20">
        <f t="shared" si="16"/>
        <v>0.80999999999999872</v>
      </c>
      <c r="AD88" s="20">
        <f t="shared" si="16"/>
        <v>0.53999999999999915</v>
      </c>
      <c r="AE88" s="20">
        <f t="shared" si="16"/>
        <v>0.68999999999999773</v>
      </c>
      <c r="AF88" s="20">
        <f t="shared" si="16"/>
        <v>0.68999999999999773</v>
      </c>
      <c r="AG88" s="20">
        <f t="shared" si="16"/>
        <v>0</v>
      </c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</row>
    <row r="89" spans="1:45" ht="33.75" hidden="1" customHeight="1" x14ac:dyDescent="0.2">
      <c r="A89" s="21" t="s">
        <v>6</v>
      </c>
      <c r="B89" s="13" t="s">
        <v>3</v>
      </c>
      <c r="C89" s="22">
        <v>224466.28200000001</v>
      </c>
      <c r="D89" s="22">
        <v>226043.66200000001</v>
      </c>
      <c r="E89" s="22">
        <v>222299.7</v>
      </c>
      <c r="F89" s="22">
        <v>219044.859</v>
      </c>
      <c r="G89" s="22">
        <v>224127.17499999999</v>
      </c>
      <c r="H89" s="22">
        <v>229642.81599999999</v>
      </c>
      <c r="I89" s="22">
        <v>225921.274</v>
      </c>
      <c r="J89" s="22">
        <v>238705.21900000001</v>
      </c>
      <c r="K89" s="22">
        <v>240207.41099999999</v>
      </c>
      <c r="L89" s="22">
        <v>248980.802</v>
      </c>
      <c r="M89" s="22">
        <v>250492.01699999999</v>
      </c>
      <c r="N89" s="22">
        <v>257993.766</v>
      </c>
      <c r="O89" s="22">
        <v>266003.96799999999</v>
      </c>
      <c r="P89" s="22">
        <v>256250.98800000001</v>
      </c>
      <c r="Q89" s="22">
        <v>255986.27100000001</v>
      </c>
      <c r="R89" s="22">
        <v>264693.12</v>
      </c>
      <c r="S89" s="22">
        <v>257747.54699999999</v>
      </c>
      <c r="T89" s="22">
        <v>244992.106</v>
      </c>
      <c r="U89" s="22">
        <v>243019.29500000001</v>
      </c>
      <c r="V89" s="22">
        <v>247296.59899999999</v>
      </c>
      <c r="W89" s="22">
        <v>242474.603</v>
      </c>
      <c r="X89" s="22">
        <v>247515.86900000001</v>
      </c>
      <c r="Y89" s="22">
        <v>253562.20300000001</v>
      </c>
      <c r="Z89" s="22">
        <v>248685.78200000001</v>
      </c>
      <c r="AA89" s="22">
        <v>246740.367</v>
      </c>
      <c r="AB89" s="22">
        <v>252980.255</v>
      </c>
      <c r="AC89" s="22">
        <v>257585.12700000001</v>
      </c>
      <c r="AD89" s="22">
        <v>254386.49400000001</v>
      </c>
      <c r="AE89" s="22">
        <v>268712.90299999999</v>
      </c>
      <c r="AF89" s="22">
        <v>274490.967</v>
      </c>
      <c r="AG89" s="22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</row>
    <row r="90" spans="1:45" ht="33.75" hidden="1" customHeight="1" x14ac:dyDescent="0.2">
      <c r="A90" s="16"/>
      <c r="B90" s="17" t="s">
        <v>4</v>
      </c>
      <c r="C90" s="22">
        <v>221160</v>
      </c>
      <c r="D90" s="22">
        <v>222890</v>
      </c>
      <c r="E90" s="22">
        <v>218050</v>
      </c>
      <c r="F90" s="22">
        <v>215950</v>
      </c>
      <c r="G90" s="22">
        <v>220365</v>
      </c>
      <c r="H90" s="22">
        <v>221815</v>
      </c>
      <c r="I90" s="22">
        <v>219765</v>
      </c>
      <c r="J90" s="22">
        <v>231340</v>
      </c>
      <c r="K90" s="22">
        <v>233655</v>
      </c>
      <c r="L90" s="22">
        <v>242280</v>
      </c>
      <c r="M90" s="22">
        <v>246990</v>
      </c>
      <c r="N90" s="22">
        <v>254490</v>
      </c>
      <c r="O90" s="22">
        <v>257515</v>
      </c>
      <c r="P90" s="22">
        <v>252290</v>
      </c>
      <c r="Q90" s="22">
        <v>249515</v>
      </c>
      <c r="R90" s="22">
        <v>253865</v>
      </c>
      <c r="S90" s="22">
        <v>251065</v>
      </c>
      <c r="T90" s="22">
        <v>238617</v>
      </c>
      <c r="U90" s="22">
        <v>234217</v>
      </c>
      <c r="V90" s="22">
        <v>238517</v>
      </c>
      <c r="W90" s="22">
        <v>235407</v>
      </c>
      <c r="X90" s="22">
        <v>237577</v>
      </c>
      <c r="Y90" s="22">
        <v>239077</v>
      </c>
      <c r="Z90" s="22">
        <v>234927</v>
      </c>
      <c r="AA90" s="22">
        <v>232327</v>
      </c>
      <c r="AB90" s="22">
        <v>238657</v>
      </c>
      <c r="AC90" s="22">
        <v>246657</v>
      </c>
      <c r="AD90" s="22">
        <v>247037</v>
      </c>
      <c r="AE90" s="22">
        <v>259287</v>
      </c>
      <c r="AF90" s="22">
        <v>265187</v>
      </c>
      <c r="AG90" s="22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ht="33.75" hidden="1" customHeight="1" x14ac:dyDescent="0.2">
      <c r="A91" s="18"/>
      <c r="B91" s="19" t="s">
        <v>7</v>
      </c>
      <c r="C91" s="23">
        <f t="shared" ref="C91:AG91" si="17">C89-C90</f>
        <v>3306.2820000000065</v>
      </c>
      <c r="D91" s="23">
        <f t="shared" si="17"/>
        <v>3153.6620000000112</v>
      </c>
      <c r="E91" s="23">
        <f t="shared" si="17"/>
        <v>4249.7000000000116</v>
      </c>
      <c r="F91" s="23">
        <f t="shared" si="17"/>
        <v>3094.8589999999967</v>
      </c>
      <c r="G91" s="23">
        <f t="shared" si="17"/>
        <v>3762.1749999999884</v>
      </c>
      <c r="H91" s="23">
        <f t="shared" si="17"/>
        <v>7827.8159999999916</v>
      </c>
      <c r="I91" s="23">
        <f t="shared" si="17"/>
        <v>6156.2740000000049</v>
      </c>
      <c r="J91" s="23">
        <f t="shared" si="17"/>
        <v>7365.2190000000119</v>
      </c>
      <c r="K91" s="23">
        <f t="shared" si="17"/>
        <v>6552.4109999999928</v>
      </c>
      <c r="L91" s="23">
        <f t="shared" si="17"/>
        <v>6700.801999999996</v>
      </c>
      <c r="M91" s="23">
        <f t="shared" si="17"/>
        <v>3502.0169999999925</v>
      </c>
      <c r="N91" s="23">
        <f t="shared" si="17"/>
        <v>3503.7660000000033</v>
      </c>
      <c r="O91" s="23">
        <f t="shared" si="17"/>
        <v>8488.9679999999935</v>
      </c>
      <c r="P91" s="23">
        <f t="shared" si="17"/>
        <v>3960.9880000000121</v>
      </c>
      <c r="Q91" s="23">
        <f t="shared" si="17"/>
        <v>6471.2710000000079</v>
      </c>
      <c r="R91" s="23">
        <f t="shared" si="17"/>
        <v>10828.119999999995</v>
      </c>
      <c r="S91" s="23">
        <f t="shared" si="17"/>
        <v>6682.5469999999914</v>
      </c>
      <c r="T91" s="23">
        <f t="shared" si="17"/>
        <v>6375.1059999999998</v>
      </c>
      <c r="U91" s="23">
        <f t="shared" si="17"/>
        <v>8802.2950000000128</v>
      </c>
      <c r="V91" s="23">
        <f t="shared" si="17"/>
        <v>8779.5989999999874</v>
      </c>
      <c r="W91" s="23">
        <f t="shared" si="17"/>
        <v>7067.6030000000028</v>
      </c>
      <c r="X91" s="23">
        <f t="shared" si="17"/>
        <v>9938.8690000000061</v>
      </c>
      <c r="Y91" s="23">
        <f t="shared" si="17"/>
        <v>14485.203000000009</v>
      </c>
      <c r="Z91" s="23">
        <f t="shared" si="17"/>
        <v>13758.782000000007</v>
      </c>
      <c r="AA91" s="23">
        <f t="shared" si="17"/>
        <v>14413.366999999998</v>
      </c>
      <c r="AB91" s="23">
        <f t="shared" si="17"/>
        <v>14323.255000000005</v>
      </c>
      <c r="AC91" s="23">
        <f t="shared" si="17"/>
        <v>10928.127000000008</v>
      </c>
      <c r="AD91" s="23">
        <f t="shared" si="17"/>
        <v>7349.4940000000061</v>
      </c>
      <c r="AE91" s="23">
        <f t="shared" si="17"/>
        <v>9425.9029999999912</v>
      </c>
      <c r="AF91" s="23">
        <f t="shared" si="17"/>
        <v>9303.9670000000042</v>
      </c>
      <c r="AG91" s="23">
        <f t="shared" si="17"/>
        <v>0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</row>
    <row r="92" spans="1:45" ht="33.75" hidden="1" customHeight="1" x14ac:dyDescent="0.2"/>
    <row r="93" spans="1:45" ht="33.75" hidden="1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 spans="1:45" ht="33.75" hidden="1" customHeight="1" x14ac:dyDescent="0.2">
      <c r="A94" s="6"/>
      <c r="B94" s="7">
        <v>45627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</row>
    <row r="95" spans="1:45" ht="33.75" hidden="1" customHeight="1" x14ac:dyDescent="0.2">
      <c r="A95" s="9"/>
      <c r="B95" s="9" t="s">
        <v>1</v>
      </c>
      <c r="C95" s="10">
        <v>45627</v>
      </c>
      <c r="D95" s="10">
        <v>45628</v>
      </c>
      <c r="E95" s="10">
        <v>45629</v>
      </c>
      <c r="F95" s="10">
        <v>45630</v>
      </c>
      <c r="G95" s="10">
        <v>45631</v>
      </c>
      <c r="H95" s="10">
        <v>45632</v>
      </c>
      <c r="I95" s="10">
        <v>45633</v>
      </c>
      <c r="J95" s="10">
        <v>45634</v>
      </c>
      <c r="K95" s="10">
        <v>45635</v>
      </c>
      <c r="L95" s="10">
        <v>45636</v>
      </c>
      <c r="M95" s="10">
        <v>45637</v>
      </c>
      <c r="N95" s="10">
        <v>45638</v>
      </c>
      <c r="O95" s="10">
        <v>45639</v>
      </c>
      <c r="P95" s="10">
        <v>45640</v>
      </c>
      <c r="Q95" s="10">
        <v>45641</v>
      </c>
      <c r="R95" s="10">
        <v>45642</v>
      </c>
      <c r="S95" s="10">
        <v>45643</v>
      </c>
      <c r="T95" s="10">
        <v>45644</v>
      </c>
      <c r="U95" s="10">
        <v>45645</v>
      </c>
      <c r="V95" s="10">
        <v>45646</v>
      </c>
      <c r="W95" s="10">
        <v>45647</v>
      </c>
      <c r="X95" s="10">
        <v>45648</v>
      </c>
      <c r="Y95" s="10">
        <v>45649</v>
      </c>
      <c r="Z95" s="10">
        <v>45650</v>
      </c>
      <c r="AA95" s="10">
        <v>45651</v>
      </c>
      <c r="AB95" s="10">
        <v>45652</v>
      </c>
      <c r="AC95" s="10">
        <v>45653</v>
      </c>
      <c r="AD95" s="10">
        <v>45654</v>
      </c>
      <c r="AE95" s="10">
        <v>45655</v>
      </c>
      <c r="AF95" s="10">
        <v>45656</v>
      </c>
      <c r="AG95" s="10">
        <v>45657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</row>
    <row r="96" spans="1:45" ht="33.75" hidden="1" customHeight="1" x14ac:dyDescent="0.2">
      <c r="A96" s="12" t="s">
        <v>2</v>
      </c>
      <c r="B96" s="13" t="s">
        <v>8</v>
      </c>
      <c r="C96" s="14">
        <v>20.170000000000002</v>
      </c>
      <c r="D96" s="14">
        <v>20</v>
      </c>
      <c r="E96" s="14">
        <v>19.690000000000001</v>
      </c>
      <c r="F96" s="14">
        <v>19.39</v>
      </c>
      <c r="G96" s="14">
        <v>19.239999999999998</v>
      </c>
      <c r="H96" s="14">
        <v>19.05</v>
      </c>
      <c r="I96" s="14">
        <v>18.690000000000001</v>
      </c>
      <c r="J96" s="14">
        <v>18.38</v>
      </c>
      <c r="K96" s="14">
        <v>18.579999999999998</v>
      </c>
      <c r="L96" s="14">
        <v>18.989999999999998</v>
      </c>
      <c r="M96" s="14">
        <v>18.66</v>
      </c>
      <c r="N96" s="14">
        <v>18.239999999999998</v>
      </c>
      <c r="O96" s="14">
        <v>18.54</v>
      </c>
      <c r="P96" s="14">
        <v>16.64</v>
      </c>
      <c r="Q96" s="14">
        <v>17.46</v>
      </c>
      <c r="R96" s="14">
        <v>18.28</v>
      </c>
      <c r="S96" s="14">
        <v>18.510000000000002</v>
      </c>
      <c r="T96" s="14">
        <v>18.777999999999999</v>
      </c>
      <c r="U96" s="14">
        <v>19.059999999999999</v>
      </c>
      <c r="V96" s="14">
        <v>18.72</v>
      </c>
      <c r="W96" s="14">
        <v>19.38</v>
      </c>
      <c r="X96" s="14">
        <v>19.28</v>
      </c>
      <c r="Y96" s="14">
        <v>20.059999999999999</v>
      </c>
      <c r="Z96" s="14">
        <v>20.63</v>
      </c>
      <c r="AA96" s="14">
        <v>21.33</v>
      </c>
      <c r="AB96" s="14">
        <v>22.09</v>
      </c>
      <c r="AC96" s="14">
        <v>22.14</v>
      </c>
      <c r="AD96" s="14">
        <v>22.23</v>
      </c>
      <c r="AE96" s="14">
        <v>22.19</v>
      </c>
      <c r="AF96" s="14">
        <v>22.84</v>
      </c>
      <c r="AG96" s="14">
        <v>21.85</v>
      </c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</row>
    <row r="97" spans="1:45" ht="33.75" hidden="1" customHeight="1" x14ac:dyDescent="0.2">
      <c r="A97" s="16"/>
      <c r="B97" s="17" t="s">
        <v>4</v>
      </c>
      <c r="C97" s="14">
        <v>19.399999999999999</v>
      </c>
      <c r="D97" s="14">
        <v>19.23</v>
      </c>
      <c r="E97" s="14">
        <v>19</v>
      </c>
      <c r="F97" s="14">
        <v>18.73</v>
      </c>
      <c r="G97" s="14">
        <v>18.559999999999999</v>
      </c>
      <c r="H97" s="14">
        <v>18.600000000000001</v>
      </c>
      <c r="I97" s="14">
        <v>18.239999999999998</v>
      </c>
      <c r="J97" s="14">
        <v>17.989999999999998</v>
      </c>
      <c r="K97" s="14">
        <v>17.7</v>
      </c>
      <c r="L97" s="14">
        <v>18.149999999999999</v>
      </c>
      <c r="M97" s="14">
        <v>17.78</v>
      </c>
      <c r="N97" s="14">
        <v>17.46</v>
      </c>
      <c r="O97" s="14">
        <v>17.68</v>
      </c>
      <c r="P97" s="14">
        <v>16.07</v>
      </c>
      <c r="Q97" s="14">
        <v>16.72</v>
      </c>
      <c r="R97" s="14">
        <v>17.489999999999998</v>
      </c>
      <c r="S97" s="14">
        <v>17.920000000000002</v>
      </c>
      <c r="T97" s="14">
        <v>18.190000000000001</v>
      </c>
      <c r="U97" s="14">
        <v>18.55</v>
      </c>
      <c r="V97" s="14">
        <v>18.440000000000001</v>
      </c>
      <c r="W97" s="14">
        <v>18.97</v>
      </c>
      <c r="X97" s="14">
        <v>18.93</v>
      </c>
      <c r="Y97" s="14">
        <v>19.47</v>
      </c>
      <c r="Z97" s="14">
        <v>20.22</v>
      </c>
      <c r="AA97" s="14">
        <v>20.74</v>
      </c>
      <c r="AB97" s="14">
        <v>21.3</v>
      </c>
      <c r="AC97" s="14">
        <v>21.55</v>
      </c>
      <c r="AD97" s="14">
        <v>21.65</v>
      </c>
      <c r="AE97" s="14">
        <v>21.75</v>
      </c>
      <c r="AF97" s="14">
        <v>22.02</v>
      </c>
      <c r="AG97" s="14">
        <v>21.33</v>
      </c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</row>
    <row r="98" spans="1:45" ht="33.75" hidden="1" customHeight="1" x14ac:dyDescent="0.2">
      <c r="A98" s="18"/>
      <c r="B98" s="19" t="s">
        <v>5</v>
      </c>
      <c r="C98" s="20">
        <f t="shared" ref="C98:AG98" si="18">C96-C97</f>
        <v>0.77000000000000313</v>
      </c>
      <c r="D98" s="20">
        <f t="shared" si="18"/>
        <v>0.76999999999999957</v>
      </c>
      <c r="E98" s="20">
        <f t="shared" si="18"/>
        <v>0.69000000000000128</v>
      </c>
      <c r="F98" s="20">
        <f t="shared" si="18"/>
        <v>0.66000000000000014</v>
      </c>
      <c r="G98" s="20">
        <f t="shared" si="18"/>
        <v>0.67999999999999972</v>
      </c>
      <c r="H98" s="20">
        <f t="shared" si="18"/>
        <v>0.44999999999999929</v>
      </c>
      <c r="I98" s="20">
        <f t="shared" si="18"/>
        <v>0.45000000000000284</v>
      </c>
      <c r="J98" s="20">
        <f t="shared" si="18"/>
        <v>0.39000000000000057</v>
      </c>
      <c r="K98" s="20">
        <f t="shared" si="18"/>
        <v>0.87999999999999901</v>
      </c>
      <c r="L98" s="20">
        <f t="shared" si="18"/>
        <v>0.83999999999999986</v>
      </c>
      <c r="M98" s="20">
        <f t="shared" si="18"/>
        <v>0.87999999999999901</v>
      </c>
      <c r="N98" s="20">
        <f t="shared" si="18"/>
        <v>0.77999999999999758</v>
      </c>
      <c r="O98" s="20">
        <f t="shared" si="18"/>
        <v>0.85999999999999943</v>
      </c>
      <c r="P98" s="20">
        <f t="shared" si="18"/>
        <v>0.57000000000000028</v>
      </c>
      <c r="Q98" s="20">
        <f t="shared" si="18"/>
        <v>0.74000000000000199</v>
      </c>
      <c r="R98" s="20">
        <f t="shared" si="18"/>
        <v>0.7900000000000027</v>
      </c>
      <c r="S98" s="20">
        <f t="shared" si="18"/>
        <v>0.58999999999999986</v>
      </c>
      <c r="T98" s="20">
        <f t="shared" si="18"/>
        <v>0.58799999999999741</v>
      </c>
      <c r="U98" s="20">
        <f t="shared" si="18"/>
        <v>0.50999999999999801</v>
      </c>
      <c r="V98" s="20">
        <f t="shared" si="18"/>
        <v>0.27999999999999758</v>
      </c>
      <c r="W98" s="20">
        <f t="shared" si="18"/>
        <v>0.41000000000000014</v>
      </c>
      <c r="X98" s="20">
        <f t="shared" si="18"/>
        <v>0.35000000000000142</v>
      </c>
      <c r="Y98" s="20">
        <f t="shared" si="18"/>
        <v>0.58999999999999986</v>
      </c>
      <c r="Z98" s="20">
        <f t="shared" si="18"/>
        <v>0.41000000000000014</v>
      </c>
      <c r="AA98" s="20">
        <f t="shared" si="18"/>
        <v>0.58999999999999986</v>
      </c>
      <c r="AB98" s="20">
        <f t="shared" si="18"/>
        <v>0.78999999999999915</v>
      </c>
      <c r="AC98" s="20">
        <f t="shared" si="18"/>
        <v>0.58999999999999986</v>
      </c>
      <c r="AD98" s="20">
        <f t="shared" si="18"/>
        <v>0.58000000000000185</v>
      </c>
      <c r="AE98" s="20">
        <f t="shared" si="18"/>
        <v>0.44000000000000128</v>
      </c>
      <c r="AF98" s="20">
        <f t="shared" si="18"/>
        <v>0.82000000000000028</v>
      </c>
      <c r="AG98" s="20">
        <f t="shared" si="18"/>
        <v>0.52000000000000313</v>
      </c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</row>
    <row r="99" spans="1:45" ht="33.75" hidden="1" customHeight="1" x14ac:dyDescent="0.2">
      <c r="A99" s="21" t="s">
        <v>6</v>
      </c>
      <c r="B99" s="13" t="s">
        <v>3</v>
      </c>
      <c r="C99" s="22">
        <v>272283.80699999997</v>
      </c>
      <c r="D99" s="22">
        <v>269977.28200000001</v>
      </c>
      <c r="E99" s="22">
        <v>265774.022</v>
      </c>
      <c r="F99" s="22">
        <v>261764.09</v>
      </c>
      <c r="G99" s="22">
        <v>259722.35399999999</v>
      </c>
      <c r="H99" s="22">
        <v>257122.478</v>
      </c>
      <c r="I99" s="22">
        <v>252375.08600000001</v>
      </c>
      <c r="J99" s="22">
        <v>248192.16699999999</v>
      </c>
      <c r="K99" s="22">
        <v>250888.24</v>
      </c>
      <c r="L99" s="22">
        <v>256350.11600000001</v>
      </c>
      <c r="M99" s="22">
        <v>251961.97099999999</v>
      </c>
      <c r="N99" s="22">
        <v>246175.76199999999</v>
      </c>
      <c r="O99" s="22">
        <v>250324.18100000001</v>
      </c>
      <c r="P99" s="22">
        <v>224585.981</v>
      </c>
      <c r="Q99" s="22">
        <v>235710.93900000001</v>
      </c>
      <c r="R99" s="22">
        <v>246758.31700000001</v>
      </c>
      <c r="S99" s="22">
        <v>249892.88800000001</v>
      </c>
      <c r="T99" s="22">
        <v>253471.24299999999</v>
      </c>
      <c r="U99" s="22">
        <v>257297.897</v>
      </c>
      <c r="V99" s="22">
        <v>252665.99600000001</v>
      </c>
      <c r="W99" s="22">
        <v>261616.02</v>
      </c>
      <c r="X99" s="22">
        <v>260262.31400000001</v>
      </c>
      <c r="Y99" s="22">
        <v>270817.72399999999</v>
      </c>
      <c r="Z99" s="22">
        <v>278539.65999999997</v>
      </c>
      <c r="AA99" s="22">
        <v>287933.30499999999</v>
      </c>
      <c r="AB99" s="22">
        <v>298155.18300000002</v>
      </c>
      <c r="AC99" s="22">
        <v>298835.37199999997</v>
      </c>
      <c r="AD99" s="22">
        <v>300101.33299999998</v>
      </c>
      <c r="AE99" s="22">
        <v>299513.89899999998</v>
      </c>
      <c r="AF99" s="22">
        <v>308331.53200000001</v>
      </c>
      <c r="AG99" s="22">
        <v>294955.27399999998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 spans="1:45" ht="33.75" hidden="1" customHeight="1" x14ac:dyDescent="0.2">
      <c r="A100" s="16"/>
      <c r="B100" s="17" t="s">
        <v>4</v>
      </c>
      <c r="C100" s="22">
        <v>261937</v>
      </c>
      <c r="D100" s="22">
        <v>259662</v>
      </c>
      <c r="E100" s="22">
        <v>256527</v>
      </c>
      <c r="F100" s="22">
        <v>252837</v>
      </c>
      <c r="G100" s="22">
        <v>250597</v>
      </c>
      <c r="H100" s="22">
        <v>251037</v>
      </c>
      <c r="I100" s="22">
        <v>246287</v>
      </c>
      <c r="J100" s="22">
        <v>242887</v>
      </c>
      <c r="K100" s="22">
        <v>239012</v>
      </c>
      <c r="L100" s="22">
        <v>245012</v>
      </c>
      <c r="M100" s="22">
        <v>240082</v>
      </c>
      <c r="N100" s="22">
        <v>235747</v>
      </c>
      <c r="O100" s="22">
        <v>238697</v>
      </c>
      <c r="P100" s="22">
        <v>216907</v>
      </c>
      <c r="Q100" s="22">
        <v>225757</v>
      </c>
      <c r="R100" s="22">
        <v>236057</v>
      </c>
      <c r="S100" s="22">
        <v>241942</v>
      </c>
      <c r="T100" s="22">
        <v>245512</v>
      </c>
      <c r="U100" s="22">
        <v>250372</v>
      </c>
      <c r="V100" s="22">
        <v>248937</v>
      </c>
      <c r="W100" s="22">
        <v>256087</v>
      </c>
      <c r="X100" s="22">
        <v>255532</v>
      </c>
      <c r="Y100" s="22">
        <v>262907</v>
      </c>
      <c r="Z100" s="22">
        <v>273007</v>
      </c>
      <c r="AA100" s="22">
        <v>280057</v>
      </c>
      <c r="AB100" s="22">
        <v>287607</v>
      </c>
      <c r="AC100" s="22">
        <v>290967</v>
      </c>
      <c r="AD100" s="22">
        <v>292217</v>
      </c>
      <c r="AE100" s="22">
        <v>293567</v>
      </c>
      <c r="AF100" s="22">
        <v>297267</v>
      </c>
      <c r="AG100" s="22">
        <v>287890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  <row r="101" spans="1:45" ht="33.75" hidden="1" customHeight="1" x14ac:dyDescent="0.2">
      <c r="A101" s="18"/>
      <c r="B101" s="19" t="s">
        <v>7</v>
      </c>
      <c r="C101" s="23">
        <f t="shared" ref="C101:AG101" si="19">C99-C100</f>
        <v>10346.806999999972</v>
      </c>
      <c r="D101" s="23">
        <f t="shared" si="19"/>
        <v>10315.282000000007</v>
      </c>
      <c r="E101" s="23">
        <f t="shared" si="19"/>
        <v>9247.0219999999972</v>
      </c>
      <c r="F101" s="23">
        <f t="shared" si="19"/>
        <v>8927.0899999999965</v>
      </c>
      <c r="G101" s="23">
        <f t="shared" si="19"/>
        <v>9125.3539999999921</v>
      </c>
      <c r="H101" s="23">
        <f t="shared" si="19"/>
        <v>6085.4780000000028</v>
      </c>
      <c r="I101" s="23">
        <f t="shared" si="19"/>
        <v>6088.0860000000102</v>
      </c>
      <c r="J101" s="23">
        <f t="shared" si="19"/>
        <v>5305.1669999999867</v>
      </c>
      <c r="K101" s="23">
        <f t="shared" si="19"/>
        <v>11876.239999999991</v>
      </c>
      <c r="L101" s="23">
        <f t="shared" si="19"/>
        <v>11338.116000000009</v>
      </c>
      <c r="M101" s="23">
        <f t="shared" si="19"/>
        <v>11879.97099999999</v>
      </c>
      <c r="N101" s="23">
        <f t="shared" si="19"/>
        <v>10428.761999999988</v>
      </c>
      <c r="O101" s="23">
        <f t="shared" si="19"/>
        <v>11627.181000000011</v>
      </c>
      <c r="P101" s="23">
        <f t="shared" si="19"/>
        <v>7678.9809999999998</v>
      </c>
      <c r="Q101" s="23">
        <f t="shared" si="19"/>
        <v>9953.939000000013</v>
      </c>
      <c r="R101" s="23">
        <f t="shared" si="19"/>
        <v>10701.31700000001</v>
      </c>
      <c r="S101" s="23">
        <f t="shared" si="19"/>
        <v>7950.8880000000063</v>
      </c>
      <c r="T101" s="23">
        <f t="shared" si="19"/>
        <v>7959.2429999999877</v>
      </c>
      <c r="U101" s="23">
        <f t="shared" si="19"/>
        <v>6925.8969999999972</v>
      </c>
      <c r="V101" s="23">
        <f t="shared" si="19"/>
        <v>3728.9960000000137</v>
      </c>
      <c r="W101" s="23">
        <f t="shared" si="19"/>
        <v>5529.0199999999895</v>
      </c>
      <c r="X101" s="23">
        <f t="shared" si="19"/>
        <v>4730.314000000013</v>
      </c>
      <c r="Y101" s="23">
        <f t="shared" si="19"/>
        <v>7910.7239999999874</v>
      </c>
      <c r="Z101" s="23">
        <f t="shared" si="19"/>
        <v>5532.6599999999744</v>
      </c>
      <c r="AA101" s="23">
        <f t="shared" si="19"/>
        <v>7876.304999999993</v>
      </c>
      <c r="AB101" s="23">
        <f t="shared" si="19"/>
        <v>10548.183000000019</v>
      </c>
      <c r="AC101" s="23">
        <f t="shared" si="19"/>
        <v>7868.3719999999739</v>
      </c>
      <c r="AD101" s="23">
        <f t="shared" si="19"/>
        <v>7884.3329999999842</v>
      </c>
      <c r="AE101" s="23">
        <f t="shared" si="19"/>
        <v>5946.8989999999758</v>
      </c>
      <c r="AF101" s="23">
        <f t="shared" si="19"/>
        <v>11064.532000000007</v>
      </c>
      <c r="AG101" s="23">
        <f t="shared" si="19"/>
        <v>7065.2739999999758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</row>
    <row r="102" spans="1:45" ht="33.75" hidden="1" customHeight="1" x14ac:dyDescent="0.2"/>
    <row r="103" spans="1:45" ht="33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r="104" spans="1:45" ht="33.75" customHeight="1" x14ac:dyDescent="0.2">
      <c r="A104" s="6"/>
      <c r="B104" s="7">
        <v>45658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</row>
    <row r="105" spans="1:45" ht="33.75" customHeight="1" x14ac:dyDescent="0.2">
      <c r="A105" s="9"/>
      <c r="B105" s="9" t="s">
        <v>1</v>
      </c>
      <c r="C105" s="10">
        <v>45657</v>
      </c>
      <c r="D105" s="10">
        <v>45658</v>
      </c>
      <c r="E105" s="10">
        <v>45659</v>
      </c>
      <c r="F105" s="10">
        <v>45660</v>
      </c>
      <c r="G105" s="10">
        <v>45661</v>
      </c>
      <c r="H105" s="10">
        <v>45662</v>
      </c>
      <c r="I105" s="10">
        <v>45663</v>
      </c>
      <c r="J105" s="10">
        <v>45664</v>
      </c>
      <c r="K105" s="10">
        <v>45665</v>
      </c>
      <c r="L105" s="10">
        <v>45666</v>
      </c>
      <c r="M105" s="10">
        <v>45667</v>
      </c>
      <c r="N105" s="10">
        <v>45668</v>
      </c>
      <c r="O105" s="10">
        <v>45669</v>
      </c>
      <c r="P105" s="10">
        <v>45670</v>
      </c>
      <c r="Q105" s="10">
        <v>45671</v>
      </c>
      <c r="R105" s="10">
        <v>45672</v>
      </c>
      <c r="S105" s="10">
        <v>45673</v>
      </c>
      <c r="T105" s="10">
        <v>45674</v>
      </c>
      <c r="U105" s="10">
        <v>45675</v>
      </c>
      <c r="V105" s="10">
        <v>45676</v>
      </c>
      <c r="W105" s="10">
        <v>45677</v>
      </c>
      <c r="X105" s="10">
        <v>45678</v>
      </c>
      <c r="Y105" s="10">
        <v>45679</v>
      </c>
      <c r="Z105" s="10">
        <v>45680</v>
      </c>
      <c r="AA105" s="10">
        <v>45681</v>
      </c>
      <c r="AB105" s="10">
        <v>45682</v>
      </c>
      <c r="AC105" s="10">
        <v>45683</v>
      </c>
      <c r="AD105" s="10">
        <v>45684</v>
      </c>
      <c r="AE105" s="10">
        <v>45685</v>
      </c>
      <c r="AF105" s="10">
        <v>45686</v>
      </c>
      <c r="AG105" s="10">
        <v>45687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 spans="1:45" ht="33.75" customHeight="1" x14ac:dyDescent="0.2">
      <c r="A106" s="12" t="s">
        <v>2</v>
      </c>
      <c r="B106" s="13" t="s">
        <v>8</v>
      </c>
      <c r="C106" s="14">
        <v>21.54</v>
      </c>
      <c r="D106" s="14">
        <v>21.45</v>
      </c>
      <c r="E106" s="14">
        <v>21.58</v>
      </c>
      <c r="F106" s="14">
        <v>21.68</v>
      </c>
      <c r="G106" s="14">
        <v>21.37</v>
      </c>
      <c r="H106" s="14">
        <v>21.01</v>
      </c>
      <c r="I106" s="14">
        <v>20.52</v>
      </c>
      <c r="J106" s="14">
        <v>20.78</v>
      </c>
      <c r="K106" s="14">
        <v>20.99</v>
      </c>
      <c r="L106" s="14">
        <v>21.08</v>
      </c>
      <c r="M106" s="14">
        <v>21.35</v>
      </c>
      <c r="N106" s="14">
        <v>21.43</v>
      </c>
      <c r="O106" s="14">
        <v>21.64</v>
      </c>
      <c r="P106" s="14">
        <v>22.07</v>
      </c>
      <c r="Q106" s="14">
        <v>22.91</v>
      </c>
      <c r="R106" s="14">
        <v>22.69</v>
      </c>
      <c r="S106" s="14">
        <v>22.84</v>
      </c>
      <c r="T106" s="14">
        <v>22.28</v>
      </c>
      <c r="U106" s="14">
        <v>22.65</v>
      </c>
      <c r="V106" s="14">
        <v>22.88</v>
      </c>
      <c r="W106" s="14">
        <v>22.46</v>
      </c>
      <c r="X106" s="14">
        <v>22.18</v>
      </c>
      <c r="Y106" s="14">
        <v>22.36</v>
      </c>
      <c r="Z106" s="14">
        <v>21.83</v>
      </c>
      <c r="AA106" s="14">
        <v>21.42</v>
      </c>
      <c r="AB106" s="14">
        <v>20.27</v>
      </c>
      <c r="AC106" s="14">
        <v>19.91</v>
      </c>
      <c r="AD106" s="14">
        <v>19.62</v>
      </c>
      <c r="AE106" s="14">
        <v>18.48</v>
      </c>
      <c r="AF106" s="14">
        <v>18.13</v>
      </c>
      <c r="AG106" s="14">
        <v>17.07</v>
      </c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</row>
    <row r="107" spans="1:45" ht="33.75" customHeight="1" x14ac:dyDescent="0.2">
      <c r="A107" s="16"/>
      <c r="B107" s="17" t="s">
        <v>4</v>
      </c>
      <c r="C107" s="14">
        <v>20.81</v>
      </c>
      <c r="D107" s="14">
        <v>20.72</v>
      </c>
      <c r="E107" s="14">
        <v>21.09</v>
      </c>
      <c r="F107" s="14">
        <v>21.17</v>
      </c>
      <c r="G107" s="14">
        <v>20.75</v>
      </c>
      <c r="H107" s="14">
        <v>20.32</v>
      </c>
      <c r="I107" s="14">
        <v>19.829999999999998</v>
      </c>
      <c r="J107" s="14">
        <v>20.14</v>
      </c>
      <c r="K107" s="14">
        <v>20.23</v>
      </c>
      <c r="L107" s="14">
        <v>20.3</v>
      </c>
      <c r="M107" s="14">
        <v>20.57</v>
      </c>
      <c r="N107" s="14">
        <v>20.82</v>
      </c>
      <c r="O107" s="14">
        <v>21.17</v>
      </c>
      <c r="P107" s="14">
        <v>21.63</v>
      </c>
      <c r="Q107" s="14">
        <v>22.44</v>
      </c>
      <c r="R107" s="14">
        <v>22.3</v>
      </c>
      <c r="S107" s="14">
        <v>22.46</v>
      </c>
      <c r="T107" s="14">
        <v>21.97</v>
      </c>
      <c r="U107" s="14">
        <v>22.33</v>
      </c>
      <c r="V107" s="14">
        <v>22.56</v>
      </c>
      <c r="W107" s="14">
        <v>22.09</v>
      </c>
      <c r="X107" s="14">
        <v>21.86</v>
      </c>
      <c r="Y107" s="14">
        <v>21.82</v>
      </c>
      <c r="Z107" s="14">
        <v>21.09</v>
      </c>
      <c r="AA107" s="14">
        <v>20.41</v>
      </c>
      <c r="AB107" s="14">
        <v>19.07</v>
      </c>
      <c r="AC107" s="14">
        <v>18.649999999999999</v>
      </c>
      <c r="AD107" s="14">
        <v>18.350000000000001</v>
      </c>
      <c r="AE107" s="14">
        <v>17.170000000000002</v>
      </c>
      <c r="AF107" s="14">
        <v>16.72</v>
      </c>
      <c r="AG107" s="14">
        <v>15.55</v>
      </c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</row>
    <row r="108" spans="1:45" ht="33.75" customHeight="1" x14ac:dyDescent="0.2"/>
    <row r="109" spans="1:45" ht="33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r="110" spans="1:45" ht="33.75" customHeight="1" x14ac:dyDescent="0.2">
      <c r="A110" s="6"/>
      <c r="B110" s="7">
        <v>45689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spans="1:45" ht="33.75" customHeight="1" x14ac:dyDescent="0.2">
      <c r="A111" s="9"/>
      <c r="B111" s="9" t="s">
        <v>1</v>
      </c>
      <c r="C111" s="10">
        <v>45688</v>
      </c>
      <c r="D111" s="10">
        <v>45689</v>
      </c>
      <c r="E111" s="10">
        <v>45690</v>
      </c>
      <c r="F111" s="10">
        <v>45691</v>
      </c>
      <c r="G111" s="10">
        <v>45692</v>
      </c>
      <c r="H111" s="10">
        <v>45693</v>
      </c>
      <c r="I111" s="10">
        <v>45694</v>
      </c>
      <c r="J111" s="10">
        <v>45695</v>
      </c>
      <c r="K111" s="10">
        <v>45696</v>
      </c>
      <c r="L111" s="10">
        <v>45697</v>
      </c>
      <c r="M111" s="10">
        <v>45698</v>
      </c>
      <c r="N111" s="10">
        <v>45699</v>
      </c>
      <c r="O111" s="10">
        <v>45700</v>
      </c>
      <c r="P111" s="10">
        <v>45701</v>
      </c>
      <c r="Q111" s="10">
        <v>45702</v>
      </c>
      <c r="R111" s="10">
        <v>45703</v>
      </c>
      <c r="S111" s="10">
        <v>45704</v>
      </c>
      <c r="T111" s="10">
        <v>45705</v>
      </c>
      <c r="U111" s="10">
        <v>45706</v>
      </c>
      <c r="V111" s="10">
        <v>45707</v>
      </c>
      <c r="W111" s="10">
        <v>45708</v>
      </c>
      <c r="X111" s="10">
        <v>45709</v>
      </c>
      <c r="Y111" s="10">
        <v>45710</v>
      </c>
      <c r="Z111" s="10">
        <v>45711</v>
      </c>
      <c r="AA111" s="10">
        <v>45712</v>
      </c>
      <c r="AB111" s="10">
        <v>45713</v>
      </c>
      <c r="AC111" s="10">
        <v>45714</v>
      </c>
      <c r="AD111" s="10">
        <v>45715</v>
      </c>
      <c r="AE111" s="10">
        <v>45716</v>
      </c>
      <c r="AF111" s="10"/>
      <c r="AG111" s="10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</row>
    <row r="112" spans="1:45" ht="33.75" customHeight="1" x14ac:dyDescent="0.2">
      <c r="A112" s="12" t="s">
        <v>2</v>
      </c>
      <c r="B112" s="13" t="s">
        <v>8</v>
      </c>
      <c r="C112" s="14">
        <v>16.260000000000002</v>
      </c>
      <c r="D112" s="14">
        <v>16.18</v>
      </c>
      <c r="E112" s="14">
        <v>15.86</v>
      </c>
      <c r="F112" s="14">
        <v>16.18</v>
      </c>
      <c r="G112" s="14">
        <v>15.1</v>
      </c>
      <c r="H112" s="14">
        <v>14.94</v>
      </c>
      <c r="I112" s="14">
        <v>14.13</v>
      </c>
      <c r="J112" s="14">
        <v>14.12</v>
      </c>
      <c r="K112" s="14">
        <v>13.34</v>
      </c>
      <c r="L112" s="14">
        <v>14</v>
      </c>
      <c r="M112" s="14">
        <v>14.4</v>
      </c>
      <c r="N112" s="14">
        <v>14.65</v>
      </c>
      <c r="O112" s="14">
        <v>15.04</v>
      </c>
      <c r="P112" s="14">
        <v>14.62</v>
      </c>
      <c r="Q112" s="14">
        <v>14.07</v>
      </c>
      <c r="R112" s="14">
        <v>14.16</v>
      </c>
      <c r="S112" s="14">
        <v>13.64</v>
      </c>
      <c r="T112" s="14">
        <v>13.03</v>
      </c>
      <c r="U112" s="14">
        <v>12.67</v>
      </c>
      <c r="V112" s="14">
        <v>11.76</v>
      </c>
      <c r="W112" s="14">
        <v>11.78</v>
      </c>
      <c r="X112" s="14">
        <v>11.62</v>
      </c>
      <c r="Y112" s="14">
        <v>12.18</v>
      </c>
      <c r="Z112" s="14">
        <v>12.66</v>
      </c>
      <c r="AA112" s="14">
        <v>13.25</v>
      </c>
      <c r="AB112" s="14">
        <v>13.78</v>
      </c>
      <c r="AC112" s="14">
        <v>14.26</v>
      </c>
      <c r="AD112" s="14">
        <v>15</v>
      </c>
      <c r="AE112" s="14">
        <v>14.74</v>
      </c>
      <c r="AF112" s="14"/>
      <c r="AG112" s="14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</row>
    <row r="113" spans="1:45" ht="33.75" customHeight="1" x14ac:dyDescent="0.2">
      <c r="A113" s="16"/>
      <c r="B113" s="17" t="s">
        <v>9</v>
      </c>
      <c r="C113" s="14">
        <v>15.14</v>
      </c>
      <c r="D113" s="14">
        <v>14.74</v>
      </c>
      <c r="E113" s="14">
        <v>14.93</v>
      </c>
      <c r="F113" s="14">
        <v>15.06</v>
      </c>
      <c r="G113" s="14">
        <v>14.15</v>
      </c>
      <c r="H113" s="14">
        <v>13.92</v>
      </c>
      <c r="I113" s="14">
        <v>13.33</v>
      </c>
      <c r="J113" s="14">
        <v>13.25</v>
      </c>
      <c r="K113" s="14">
        <v>12.79</v>
      </c>
      <c r="L113" s="14">
        <v>13.36</v>
      </c>
      <c r="M113" s="14">
        <v>13.54</v>
      </c>
      <c r="N113" s="14">
        <v>14.09</v>
      </c>
      <c r="O113" s="14">
        <v>13.86</v>
      </c>
      <c r="P113" s="14">
        <v>12.66</v>
      </c>
      <c r="Q113" s="14">
        <v>12.74</v>
      </c>
      <c r="R113" s="14">
        <v>12.74</v>
      </c>
      <c r="S113" s="14">
        <v>12.13</v>
      </c>
      <c r="T113" s="14">
        <v>11.69</v>
      </c>
      <c r="U113" s="14">
        <v>10.51</v>
      </c>
      <c r="V113" s="14">
        <v>10.210000000000001</v>
      </c>
      <c r="W113" s="14">
        <v>10.24</v>
      </c>
      <c r="X113" s="14">
        <v>10.14</v>
      </c>
      <c r="Y113" s="14">
        <v>10.91</v>
      </c>
      <c r="Z113" s="14">
        <v>11.33</v>
      </c>
      <c r="AA113" s="14">
        <v>11.97</v>
      </c>
      <c r="AB113" s="14">
        <v>12.3</v>
      </c>
      <c r="AC113" s="14">
        <v>12.41</v>
      </c>
      <c r="AD113" s="14">
        <v>12.81</v>
      </c>
      <c r="AE113" s="14">
        <v>12.5</v>
      </c>
      <c r="AF113" s="14"/>
      <c r="AG113" s="14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</row>
    <row r="114" spans="1:45" ht="33.75" customHeight="1" x14ac:dyDescent="0.2"/>
    <row r="115" spans="1:45" ht="33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spans="1:45" ht="33.75" customHeight="1" x14ac:dyDescent="0.2">
      <c r="A116" s="24" t="s">
        <v>10</v>
      </c>
      <c r="B116" s="7">
        <v>45717</v>
      </c>
      <c r="C116" s="25" t="s">
        <v>11</v>
      </c>
      <c r="D116" s="3"/>
      <c r="E116" s="3"/>
      <c r="F116" s="3"/>
      <c r="G116" s="3"/>
      <c r="H116" s="3"/>
      <c r="I116" s="3"/>
      <c r="J116" s="25" t="s">
        <v>12</v>
      </c>
      <c r="K116" s="3"/>
      <c r="L116" s="3"/>
      <c r="M116" s="3"/>
      <c r="N116" s="3"/>
      <c r="O116" s="3"/>
      <c r="P116" s="3"/>
      <c r="Q116" s="25" t="s">
        <v>13</v>
      </c>
      <c r="R116" s="3"/>
      <c r="S116" s="3"/>
      <c r="T116" s="3"/>
      <c r="U116" s="3"/>
      <c r="V116" s="3"/>
      <c r="W116" s="3"/>
      <c r="X116" s="25" t="s">
        <v>14</v>
      </c>
      <c r="Y116" s="3"/>
      <c r="Z116" s="3"/>
      <c r="AA116" s="3"/>
      <c r="AB116" s="3"/>
      <c r="AC116" s="3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</row>
    <row r="117" spans="1:45" ht="33.75" customHeight="1" x14ac:dyDescent="0.2">
      <c r="A117" s="9"/>
      <c r="B117" s="9" t="s">
        <v>1</v>
      </c>
      <c r="C117" s="10">
        <v>45716</v>
      </c>
      <c r="D117" s="10">
        <v>45717</v>
      </c>
      <c r="E117" s="10">
        <v>45718</v>
      </c>
      <c r="F117" s="10">
        <v>45719</v>
      </c>
      <c r="G117" s="10">
        <v>45720</v>
      </c>
      <c r="H117" s="10">
        <v>45721</v>
      </c>
      <c r="I117" s="10">
        <v>45722</v>
      </c>
      <c r="J117" s="10">
        <v>45723</v>
      </c>
      <c r="K117" s="10">
        <v>45724</v>
      </c>
      <c r="L117" s="10">
        <v>45725</v>
      </c>
      <c r="M117" s="10">
        <v>45726</v>
      </c>
      <c r="N117" s="10">
        <v>45727</v>
      </c>
      <c r="O117" s="10">
        <v>45728</v>
      </c>
      <c r="P117" s="10">
        <v>45729</v>
      </c>
      <c r="Q117" s="10">
        <v>45730</v>
      </c>
      <c r="R117" s="10">
        <v>45731</v>
      </c>
      <c r="S117" s="10">
        <v>45732</v>
      </c>
      <c r="T117" s="10">
        <v>45733</v>
      </c>
      <c r="U117" s="10">
        <v>45734</v>
      </c>
      <c r="V117" s="10">
        <v>45735</v>
      </c>
      <c r="W117" s="10">
        <v>45736</v>
      </c>
      <c r="X117" s="10">
        <v>45737</v>
      </c>
      <c r="Y117" s="10">
        <v>45738</v>
      </c>
      <c r="Z117" s="10">
        <v>45739</v>
      </c>
      <c r="AA117" s="10">
        <v>45740</v>
      </c>
      <c r="AB117" s="10">
        <v>45741</v>
      </c>
      <c r="AC117" s="10">
        <v>45742</v>
      </c>
      <c r="AD117" s="10">
        <v>45743</v>
      </c>
      <c r="AE117" s="10">
        <v>45744</v>
      </c>
      <c r="AF117" s="10">
        <v>45745</v>
      </c>
      <c r="AG117" s="10">
        <v>45746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</row>
    <row r="118" spans="1:45" ht="33.75" customHeight="1" x14ac:dyDescent="0.2">
      <c r="A118" s="12" t="s">
        <v>2</v>
      </c>
      <c r="B118" s="13" t="s">
        <v>8</v>
      </c>
      <c r="C118" s="14">
        <v>14.74</v>
      </c>
      <c r="D118" s="14">
        <v>14.3</v>
      </c>
      <c r="E118" s="14">
        <v>14.17</v>
      </c>
      <c r="F118" s="14">
        <v>13.63</v>
      </c>
      <c r="G118" s="14">
        <v>13.14</v>
      </c>
      <c r="H118" s="14">
        <v>11.99</v>
      </c>
      <c r="I118" s="14">
        <v>12.18</v>
      </c>
      <c r="J118" s="14">
        <v>11.25</v>
      </c>
      <c r="K118" s="14">
        <v>11.72</v>
      </c>
      <c r="L118" s="14">
        <v>11.96</v>
      </c>
      <c r="M118" s="14">
        <v>12.43</v>
      </c>
      <c r="N118" s="14">
        <v>11.95</v>
      </c>
      <c r="O118" s="14">
        <v>12.27</v>
      </c>
      <c r="P118" s="14">
        <v>11.9</v>
      </c>
      <c r="Q118" s="14">
        <v>11.44</v>
      </c>
      <c r="R118" s="14">
        <v>11</v>
      </c>
      <c r="S118" s="14">
        <v>10.64</v>
      </c>
      <c r="T118" s="14">
        <v>9.5299999999999994</v>
      </c>
      <c r="U118" s="14">
        <v>9.14</v>
      </c>
      <c r="V118" s="14">
        <v>9.3000000000000007</v>
      </c>
      <c r="W118" s="14">
        <v>9.6</v>
      </c>
      <c r="X118" s="14">
        <v>9.27</v>
      </c>
      <c r="Y118" s="14">
        <v>9.5299999999999994</v>
      </c>
      <c r="Z118" s="14">
        <v>9.9700000000000006</v>
      </c>
      <c r="AA118" s="14">
        <v>9.5500000000000007</v>
      </c>
      <c r="AB118" s="14">
        <v>9.68</v>
      </c>
      <c r="AC118" s="14">
        <v>9.15</v>
      </c>
      <c r="AD118" s="14">
        <v>8.09</v>
      </c>
      <c r="AE118" s="14">
        <v>8.0500000000000007</v>
      </c>
      <c r="AF118" s="14">
        <v>8.94</v>
      </c>
      <c r="AG118" s="14">
        <v>9.8000000000000007</v>
      </c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</row>
    <row r="119" spans="1:45" ht="33.75" customHeight="1" x14ac:dyDescent="0.2">
      <c r="A119" s="16"/>
      <c r="B119" s="17" t="s">
        <v>9</v>
      </c>
      <c r="C119" s="14">
        <v>12.5</v>
      </c>
      <c r="D119" s="14">
        <v>12.27</v>
      </c>
      <c r="E119" s="14">
        <v>11.78</v>
      </c>
      <c r="F119" s="14">
        <v>11.48</v>
      </c>
      <c r="G119" s="14">
        <v>10.8</v>
      </c>
      <c r="H119" s="14">
        <v>10.32</v>
      </c>
      <c r="I119" s="14">
        <v>9.9499999999999993</v>
      </c>
      <c r="J119" s="14">
        <v>9.67</v>
      </c>
      <c r="K119" s="14">
        <v>9.65</v>
      </c>
      <c r="L119" s="14">
        <v>9.89</v>
      </c>
      <c r="M119" s="14">
        <v>10</v>
      </c>
      <c r="N119" s="14">
        <v>9.8699999999999992</v>
      </c>
      <c r="O119" s="14">
        <v>10.14</v>
      </c>
      <c r="P119" s="14">
        <v>9.6</v>
      </c>
      <c r="Q119" s="14">
        <v>9.07</v>
      </c>
      <c r="R119" s="14">
        <v>8.59</v>
      </c>
      <c r="S119" s="14">
        <v>7.8</v>
      </c>
      <c r="T119" s="14">
        <v>7.06</v>
      </c>
      <c r="U119" s="14">
        <v>6.79</v>
      </c>
      <c r="V119" s="14">
        <v>7.04</v>
      </c>
      <c r="W119" s="14">
        <v>7.25</v>
      </c>
      <c r="X119" s="14">
        <v>7.07</v>
      </c>
      <c r="Y119" s="14">
        <v>7.59</v>
      </c>
      <c r="Z119" s="14">
        <v>7.71</v>
      </c>
      <c r="AA119" s="14">
        <v>7.44</v>
      </c>
      <c r="AB119" s="14">
        <v>7.15</v>
      </c>
      <c r="AC119" s="14">
        <v>5.54</v>
      </c>
      <c r="AD119" s="14">
        <v>5.01</v>
      </c>
      <c r="AE119" s="14">
        <v>5.36</v>
      </c>
      <c r="AF119" s="14">
        <v>5.81</v>
      </c>
      <c r="AG119" s="14">
        <v>6.49</v>
      </c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</row>
    <row r="120" spans="1:45" ht="33.75" customHeight="1" x14ac:dyDescent="0.2"/>
    <row r="121" spans="1:45" ht="33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 spans="1:45" ht="33.75" customHeight="1" x14ac:dyDescent="0.2">
      <c r="A122" s="6"/>
      <c r="B122" s="7">
        <v>45748</v>
      </c>
      <c r="C122" s="25" t="s">
        <v>11</v>
      </c>
      <c r="D122" s="3"/>
      <c r="E122" s="3"/>
      <c r="F122" s="3"/>
      <c r="G122" s="3"/>
      <c r="H122" s="3"/>
      <c r="I122" s="3"/>
      <c r="J122" s="25" t="s">
        <v>12</v>
      </c>
      <c r="K122" s="3"/>
      <c r="L122" s="3"/>
      <c r="M122" s="3"/>
      <c r="N122" s="3"/>
      <c r="O122" s="3"/>
      <c r="P122" s="3"/>
      <c r="Q122" s="25" t="s">
        <v>13</v>
      </c>
      <c r="R122" s="3"/>
      <c r="S122" s="3"/>
      <c r="T122" s="3"/>
      <c r="U122" s="3"/>
      <c r="V122" s="3"/>
      <c r="W122" s="3"/>
      <c r="X122" s="25" t="s">
        <v>14</v>
      </c>
      <c r="Y122" s="3"/>
      <c r="Z122" s="3"/>
      <c r="AA122" s="3"/>
      <c r="AB122" s="3"/>
      <c r="AC122" s="3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spans="1:45" ht="33.75" customHeight="1" x14ac:dyDescent="0.2">
      <c r="A123" s="9"/>
      <c r="B123" s="9" t="s">
        <v>1</v>
      </c>
      <c r="C123" s="10">
        <v>45747</v>
      </c>
      <c r="D123" s="10">
        <v>45748</v>
      </c>
      <c r="E123" s="10">
        <v>45749</v>
      </c>
      <c r="F123" s="10">
        <v>45750</v>
      </c>
      <c r="G123" s="10">
        <v>45751</v>
      </c>
      <c r="H123" s="10">
        <v>45752</v>
      </c>
      <c r="I123" s="10">
        <v>45753</v>
      </c>
      <c r="J123" s="10">
        <v>45754</v>
      </c>
      <c r="K123" s="10">
        <v>45755</v>
      </c>
      <c r="L123" s="10">
        <v>45756</v>
      </c>
      <c r="M123" s="10">
        <v>45757</v>
      </c>
      <c r="N123" s="10">
        <v>45758</v>
      </c>
      <c r="O123" s="10">
        <v>45759</v>
      </c>
      <c r="P123" s="10">
        <v>45760</v>
      </c>
      <c r="Q123" s="10">
        <v>45761</v>
      </c>
      <c r="R123" s="10">
        <v>45762</v>
      </c>
      <c r="S123" s="10">
        <v>45763</v>
      </c>
      <c r="T123" s="10">
        <v>45764</v>
      </c>
      <c r="U123" s="10">
        <v>45765</v>
      </c>
      <c r="V123" s="10">
        <v>45766</v>
      </c>
      <c r="W123" s="10">
        <v>45767</v>
      </c>
      <c r="X123" s="10">
        <v>45768</v>
      </c>
      <c r="Y123" s="10">
        <v>45769</v>
      </c>
      <c r="Z123" s="10">
        <v>45770</v>
      </c>
      <c r="AA123" s="10">
        <v>45771</v>
      </c>
      <c r="AB123" s="10">
        <v>45772</v>
      </c>
      <c r="AC123" s="10">
        <v>45773</v>
      </c>
      <c r="AD123" s="10">
        <v>45774</v>
      </c>
      <c r="AE123" s="10">
        <v>45775</v>
      </c>
      <c r="AF123" s="10">
        <v>45776</v>
      </c>
      <c r="AG123" s="10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 spans="1:45" ht="33.75" customHeight="1" x14ac:dyDescent="0.2">
      <c r="A124" s="12" t="s">
        <v>2</v>
      </c>
      <c r="B124" s="13" t="s">
        <v>8</v>
      </c>
      <c r="C124" s="14">
        <v>9.19</v>
      </c>
      <c r="D124" s="14">
        <v>10.199999999999999</v>
      </c>
      <c r="E124" s="14">
        <v>10.66</v>
      </c>
      <c r="F124" s="14">
        <v>10.95</v>
      </c>
      <c r="G124" s="14">
        <v>11.31</v>
      </c>
      <c r="H124" s="14">
        <v>11.06</v>
      </c>
      <c r="I124" s="14">
        <v>11.59</v>
      </c>
      <c r="J124" s="14">
        <v>12.56</v>
      </c>
      <c r="K124" s="14">
        <v>12.73</v>
      </c>
      <c r="L124" s="14">
        <v>13.02</v>
      </c>
      <c r="M124" s="14">
        <v>13.23</v>
      </c>
      <c r="N124" s="14">
        <v>14.2</v>
      </c>
      <c r="O124" s="14">
        <v>14.42</v>
      </c>
      <c r="P124" s="14">
        <v>14.62</v>
      </c>
      <c r="Q124" s="14">
        <v>14.23</v>
      </c>
      <c r="R124" s="14">
        <v>14.99</v>
      </c>
      <c r="S124" s="14">
        <v>15.07</v>
      </c>
      <c r="T124" s="14">
        <v>15.23</v>
      </c>
      <c r="U124" s="14">
        <v>14.84</v>
      </c>
      <c r="V124" s="14">
        <v>15.04</v>
      </c>
      <c r="W124" s="14">
        <v>14.74</v>
      </c>
      <c r="X124" s="14">
        <v>14.74</v>
      </c>
      <c r="Y124" s="14">
        <v>14.77</v>
      </c>
      <c r="Z124" s="14">
        <v>14.87</v>
      </c>
      <c r="AA124" s="14">
        <v>14.59</v>
      </c>
      <c r="AB124" s="14">
        <v>15.06</v>
      </c>
      <c r="AC124" s="14">
        <v>14.47</v>
      </c>
      <c r="AD124" s="14">
        <v>14.61</v>
      </c>
      <c r="AE124" s="14">
        <v>14.08</v>
      </c>
      <c r="AF124" s="14">
        <v>14.28</v>
      </c>
      <c r="AG124" s="14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</row>
    <row r="125" spans="1:45" ht="33.75" customHeight="1" x14ac:dyDescent="0.2">
      <c r="A125" s="16"/>
      <c r="B125" s="17" t="s">
        <v>9</v>
      </c>
      <c r="C125" s="14">
        <v>6.62</v>
      </c>
      <c r="D125" s="14">
        <v>6.83</v>
      </c>
      <c r="E125" s="14">
        <v>6.94</v>
      </c>
      <c r="F125" s="14">
        <v>7.5</v>
      </c>
      <c r="G125" s="14">
        <v>7.83</v>
      </c>
      <c r="H125" s="14">
        <v>8.26</v>
      </c>
      <c r="I125" s="14">
        <v>8.2100000000000009</v>
      </c>
      <c r="J125" s="14">
        <v>9.1300000000000008</v>
      </c>
      <c r="K125" s="14">
        <v>9.2200000000000006</v>
      </c>
      <c r="L125" s="14">
        <v>9.52</v>
      </c>
      <c r="M125" s="14">
        <v>10.53</v>
      </c>
      <c r="N125" s="14">
        <v>11.01</v>
      </c>
      <c r="O125" s="14">
        <v>11.01</v>
      </c>
      <c r="P125" s="14">
        <v>11.18</v>
      </c>
      <c r="Q125" s="14">
        <v>11.09</v>
      </c>
      <c r="R125" s="14">
        <v>11.78</v>
      </c>
      <c r="S125" s="14">
        <v>11.42</v>
      </c>
      <c r="T125" s="14">
        <v>11.58</v>
      </c>
      <c r="U125" s="14">
        <v>11.31</v>
      </c>
      <c r="V125" s="14">
        <v>11.46</v>
      </c>
      <c r="W125" s="14">
        <v>11.1</v>
      </c>
      <c r="X125" s="14">
        <v>11.61</v>
      </c>
      <c r="Y125" s="14">
        <v>11.51</v>
      </c>
      <c r="Z125" s="14">
        <v>11.56</v>
      </c>
      <c r="AA125" s="14">
        <v>11.36</v>
      </c>
      <c r="AB125" s="14">
        <v>11.42</v>
      </c>
      <c r="AC125" s="14">
        <v>11.01</v>
      </c>
      <c r="AD125" s="14">
        <v>10.88</v>
      </c>
      <c r="AE125" s="14">
        <v>10.99</v>
      </c>
      <c r="AF125" s="14">
        <v>11.01</v>
      </c>
      <c r="AG125" s="14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</row>
    <row r="126" spans="1:45" ht="33.75" customHeight="1" x14ac:dyDescent="0.2"/>
    <row r="127" spans="1:45" ht="33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 spans="1:45" ht="33.75" customHeight="1" x14ac:dyDescent="0.2">
      <c r="A128" s="6"/>
      <c r="B128" s="7">
        <v>45778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</row>
    <row r="129" spans="1:45" ht="33.75" customHeight="1" x14ac:dyDescent="0.2">
      <c r="A129" s="9"/>
      <c r="B129" s="9" t="s">
        <v>1</v>
      </c>
      <c r="C129" s="10">
        <v>45777</v>
      </c>
      <c r="D129" s="10">
        <v>45778</v>
      </c>
      <c r="E129" s="10">
        <v>45779</v>
      </c>
      <c r="F129" s="10">
        <v>45780</v>
      </c>
      <c r="G129" s="10">
        <v>45781</v>
      </c>
      <c r="H129" s="10">
        <v>45782</v>
      </c>
      <c r="I129" s="10">
        <v>45783</v>
      </c>
      <c r="J129" s="10">
        <v>45784</v>
      </c>
      <c r="K129" s="10">
        <v>45785</v>
      </c>
      <c r="L129" s="10">
        <v>45786</v>
      </c>
      <c r="M129" s="10">
        <v>45787</v>
      </c>
      <c r="N129" s="10">
        <v>45788</v>
      </c>
      <c r="O129" s="10">
        <v>45789</v>
      </c>
      <c r="P129" s="10">
        <v>45790</v>
      </c>
      <c r="Q129" s="10">
        <v>45791</v>
      </c>
      <c r="R129" s="10">
        <v>45792</v>
      </c>
      <c r="S129" s="10">
        <v>45793</v>
      </c>
      <c r="T129" s="10">
        <v>45794</v>
      </c>
      <c r="U129" s="10">
        <v>45795</v>
      </c>
      <c r="V129" s="10">
        <v>45796</v>
      </c>
      <c r="W129" s="10">
        <v>45797</v>
      </c>
      <c r="X129" s="10">
        <v>45798</v>
      </c>
      <c r="Y129" s="10">
        <v>45799</v>
      </c>
      <c r="Z129" s="10">
        <v>45800</v>
      </c>
      <c r="AA129" s="10">
        <v>45801</v>
      </c>
      <c r="AB129" s="10">
        <v>45802</v>
      </c>
      <c r="AC129" s="10">
        <v>45803</v>
      </c>
      <c r="AD129" s="10">
        <v>45804</v>
      </c>
      <c r="AE129" s="10">
        <v>45805</v>
      </c>
      <c r="AF129" s="10">
        <v>45806</v>
      </c>
      <c r="AG129" s="10">
        <v>45807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 spans="1:45" ht="33.75" customHeight="1" x14ac:dyDescent="0.2">
      <c r="A130" s="12" t="s">
        <v>2</v>
      </c>
      <c r="B130" s="13" t="s">
        <v>8</v>
      </c>
      <c r="C130" s="14">
        <v>14.504962962962964</v>
      </c>
      <c r="D130" s="14">
        <v>14.104305851851851</v>
      </c>
      <c r="E130" s="14">
        <v>13.638184296296297</v>
      </c>
      <c r="F130" s="14">
        <v>13.29603711111111</v>
      </c>
      <c r="G130" s="14">
        <v>13.613700222222223</v>
      </c>
      <c r="H130" s="14">
        <v>14.518270888888889</v>
      </c>
      <c r="I130" s="14">
        <v>14.192997629629629</v>
      </c>
      <c r="J130" s="14">
        <v>14.611897037037036</v>
      </c>
      <c r="K130" s="14">
        <v>14.708615259259259</v>
      </c>
      <c r="L130" s="14">
        <v>14.789498148148148</v>
      </c>
      <c r="M130" s="14">
        <v>14.919017851851853</v>
      </c>
      <c r="N130" s="14">
        <v>14.447819185185185</v>
      </c>
      <c r="O130" s="14">
        <v>14.235444666666666</v>
      </c>
      <c r="P130" s="14">
        <v>13.840427481481482</v>
      </c>
      <c r="Q130" s="14">
        <v>13.341279555555555</v>
      </c>
      <c r="R130" s="14">
        <v>12.264507703703703</v>
      </c>
      <c r="S130" s="14">
        <v>12.483323481481481</v>
      </c>
      <c r="T130" s="14">
        <v>11.933303925925927</v>
      </c>
      <c r="U130" s="14">
        <v>12.286448222222223</v>
      </c>
      <c r="V130" s="14">
        <v>11.763779185185186</v>
      </c>
      <c r="W130" s="14">
        <v>11.98730888888889</v>
      </c>
      <c r="X130" s="14">
        <v>12.346020518518518</v>
      </c>
      <c r="Y130" s="14">
        <v>12.485847111111109</v>
      </c>
      <c r="Z130" s="14">
        <v>12.031074592592594</v>
      </c>
      <c r="AA130" s="14">
        <v>11.456774888888889</v>
      </c>
      <c r="AB130" s="14">
        <v>11.103091629629629</v>
      </c>
      <c r="AC130" s="14">
        <v>10.631346740740742</v>
      </c>
      <c r="AD130" s="14">
        <v>10.067041555555555</v>
      </c>
      <c r="AE130" s="14">
        <v>9.8367960000000014</v>
      </c>
      <c r="AF130" s="14">
        <v>9.8453561481481469</v>
      </c>
      <c r="AG130" s="14">
        <v>9.9705870370370366</v>
      </c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</row>
    <row r="131" spans="1:45" ht="33.75" customHeight="1" x14ac:dyDescent="0.2">
      <c r="A131" s="16"/>
      <c r="B131" s="17" t="s">
        <v>9</v>
      </c>
      <c r="C131" s="14">
        <v>10.822222222222223</v>
      </c>
      <c r="D131" s="14">
        <v>10.42962962962963</v>
      </c>
      <c r="E131" s="14">
        <v>10.144444444444444</v>
      </c>
      <c r="F131" s="14">
        <v>9.8000000000000007</v>
      </c>
      <c r="G131" s="14">
        <v>10.075555555555555</v>
      </c>
      <c r="H131" s="14">
        <v>10.777407407407408</v>
      </c>
      <c r="I131" s="14">
        <v>10.914444444444445</v>
      </c>
      <c r="J131" s="14">
        <v>11.245925925925926</v>
      </c>
      <c r="K131" s="14">
        <v>11.194074074074074</v>
      </c>
      <c r="L131" s="14">
        <v>11.337037037037037</v>
      </c>
      <c r="M131" s="14">
        <v>11.396296296296295</v>
      </c>
      <c r="N131" s="14">
        <v>10.948148148148148</v>
      </c>
      <c r="O131" s="14">
        <v>10.833037037037037</v>
      </c>
      <c r="P131" s="14">
        <v>10.040444444444445</v>
      </c>
      <c r="Q131" s="14">
        <v>9.681481481481482</v>
      </c>
      <c r="R131" s="14">
        <v>8.8333333333333339</v>
      </c>
      <c r="S131" s="14">
        <v>8.1296296296296298</v>
      </c>
      <c r="T131" s="14">
        <v>7.8925925925925924</v>
      </c>
      <c r="U131" s="14">
        <v>8.1370370370370377</v>
      </c>
      <c r="V131" s="14">
        <v>8.5629629629629633</v>
      </c>
      <c r="W131" s="14">
        <v>9.0037037037037031</v>
      </c>
      <c r="X131" s="14">
        <v>9.1185185185185187</v>
      </c>
      <c r="Y131" s="14">
        <v>8.8037037037037038</v>
      </c>
      <c r="Z131" s="14">
        <v>8.344444444444445</v>
      </c>
      <c r="AA131" s="14">
        <v>7.9481481481481477</v>
      </c>
      <c r="AB131" s="14">
        <v>7.3037037037037038</v>
      </c>
      <c r="AC131" s="14">
        <v>6.8666666666666663</v>
      </c>
      <c r="AD131" s="14">
        <v>6.6481481481481479</v>
      </c>
      <c r="AE131" s="14">
        <v>6.3777777777777782</v>
      </c>
      <c r="AF131" s="14">
        <v>6.8185185185185189</v>
      </c>
      <c r="AG131" s="14">
        <v>6.7</v>
      </c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</row>
    <row r="132" spans="1:45" ht="33.75" customHeight="1" x14ac:dyDescent="0.2"/>
    <row r="133" spans="1:45" ht="33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 spans="1:45" ht="33.75" customHeight="1" x14ac:dyDescent="0.2">
      <c r="A134" s="6"/>
      <c r="B134" s="7">
        <v>45809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spans="1:45" ht="33.75" customHeight="1" x14ac:dyDescent="0.2">
      <c r="A135" s="9"/>
      <c r="B135" s="9" t="s">
        <v>1</v>
      </c>
      <c r="C135" s="10">
        <v>45808</v>
      </c>
      <c r="D135" s="10">
        <v>45809</v>
      </c>
      <c r="E135" s="10">
        <v>45810</v>
      </c>
      <c r="F135" s="10">
        <v>45811</v>
      </c>
      <c r="G135" s="10">
        <v>45812</v>
      </c>
      <c r="H135" s="10">
        <v>45813</v>
      </c>
      <c r="I135" s="10">
        <v>45814</v>
      </c>
      <c r="J135" s="10">
        <v>45815</v>
      </c>
      <c r="K135" s="10">
        <v>45816</v>
      </c>
      <c r="L135" s="10">
        <v>45817</v>
      </c>
      <c r="M135" s="10">
        <v>45818</v>
      </c>
      <c r="N135" s="10">
        <v>45819</v>
      </c>
      <c r="O135" s="10">
        <v>45820</v>
      </c>
      <c r="P135" s="10">
        <v>45821</v>
      </c>
      <c r="Q135" s="10">
        <v>45822</v>
      </c>
      <c r="R135" s="10">
        <v>45823</v>
      </c>
      <c r="S135" s="10">
        <v>45824</v>
      </c>
      <c r="T135" s="10">
        <v>45825</v>
      </c>
      <c r="U135" s="10">
        <v>45826</v>
      </c>
      <c r="V135" s="10">
        <v>45827</v>
      </c>
      <c r="W135" s="10">
        <v>45828</v>
      </c>
      <c r="X135" s="10">
        <v>45829</v>
      </c>
      <c r="Y135" s="10">
        <v>45830</v>
      </c>
      <c r="Z135" s="10">
        <v>45831</v>
      </c>
      <c r="AA135" s="10">
        <v>45832</v>
      </c>
      <c r="AB135" s="10">
        <v>45833</v>
      </c>
      <c r="AC135" s="10">
        <v>45834</v>
      </c>
      <c r="AD135" s="10">
        <v>45835</v>
      </c>
      <c r="AE135" s="10">
        <v>45836</v>
      </c>
      <c r="AF135" s="10">
        <v>45837</v>
      </c>
      <c r="AG135" s="10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 spans="1:45" ht="33.75" customHeight="1" x14ac:dyDescent="0.2">
      <c r="A136" s="12" t="s">
        <v>2</v>
      </c>
      <c r="B136" s="13" t="s">
        <v>8</v>
      </c>
      <c r="C136" s="14">
        <v>10.040687333333334</v>
      </c>
      <c r="D136" s="14">
        <v>10.783605111111111</v>
      </c>
      <c r="E136" s="14">
        <v>11.336725259259259</v>
      </c>
      <c r="F136" s="14">
        <v>11.292272074074075</v>
      </c>
      <c r="G136" s="14">
        <v>11.862673999999998</v>
      </c>
      <c r="H136" s="14">
        <v>12.076987185185185</v>
      </c>
      <c r="I136" s="14">
        <v>11.737993259259261</v>
      </c>
      <c r="J136" s="14">
        <v>12.738221333333334</v>
      </c>
      <c r="K136" s="14">
        <v>13.211467037037037</v>
      </c>
      <c r="L136" s="14">
        <v>13.376882814814815</v>
      </c>
      <c r="M136" s="14">
        <v>13.417602592592594</v>
      </c>
      <c r="N136" s="14">
        <v>13.593427851851853</v>
      </c>
      <c r="O136" s="14">
        <v>13.086016592592591</v>
      </c>
      <c r="P136" s="14">
        <v>13.166465481481483</v>
      </c>
      <c r="Q136" s="14">
        <v>12.619103555555554</v>
      </c>
      <c r="R136" s="14">
        <v>12.733030074074073</v>
      </c>
      <c r="S136" s="14">
        <v>12.131654148148149</v>
      </c>
      <c r="T136" s="14">
        <v>12.121590222222222</v>
      </c>
      <c r="U136" s="14">
        <v>11.533814592592593</v>
      </c>
      <c r="V136" s="14">
        <v>10.956666</v>
      </c>
      <c r="W136" s="14">
        <v>10.711859481481481</v>
      </c>
      <c r="X136" s="14">
        <v>10.797789407407407</v>
      </c>
      <c r="Y136" s="14">
        <v>10.971542518518518</v>
      </c>
      <c r="Z136" s="14">
        <v>11.342495185185186</v>
      </c>
      <c r="AA136" s="14">
        <v>11.367247481481481</v>
      </c>
      <c r="AB136" s="14">
        <v>10.739132074074075</v>
      </c>
      <c r="AC136" s="14">
        <v>10.212559777777777</v>
      </c>
      <c r="AD136" s="14">
        <v>9.0290657777777774</v>
      </c>
      <c r="AE136" s="14">
        <v>9.2195958518518513</v>
      </c>
      <c r="AF136" s="14">
        <v>9.6424808888888887</v>
      </c>
      <c r="AG136" s="14" t="e">
        <f>#REF!/13500</f>
        <v>#REF!</v>
      </c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</row>
    <row r="137" spans="1:45" ht="33.75" customHeight="1" x14ac:dyDescent="0.2">
      <c r="A137" s="16"/>
      <c r="B137" s="17" t="s">
        <v>9</v>
      </c>
      <c r="C137" s="14">
        <v>7.0925925925925926</v>
      </c>
      <c r="D137" s="14">
        <v>7.7444444444444445</v>
      </c>
      <c r="E137" s="14">
        <v>8.0259259259259252</v>
      </c>
      <c r="F137" s="14">
        <v>8.4148148148148145</v>
      </c>
      <c r="G137" s="14">
        <v>8.7666666666666675</v>
      </c>
      <c r="H137" s="14">
        <v>8.8000000000000007</v>
      </c>
      <c r="I137" s="14">
        <v>8.8814814814814813</v>
      </c>
      <c r="J137" s="14">
        <v>9.1777777777777771</v>
      </c>
      <c r="K137" s="14">
        <v>9.837037037037037</v>
      </c>
      <c r="L137" s="14">
        <v>10.525925925925925</v>
      </c>
      <c r="M137" s="14">
        <v>10.811111111111112</v>
      </c>
      <c r="N137" s="14">
        <v>10.814814814814815</v>
      </c>
      <c r="O137" s="14">
        <v>10.359259259259259</v>
      </c>
      <c r="P137" s="14">
        <v>9.9629629629629637</v>
      </c>
      <c r="Q137" s="14">
        <v>9.981481481481481</v>
      </c>
      <c r="R137" s="14">
        <v>10.322074074074074</v>
      </c>
      <c r="S137" s="14">
        <v>9.6739259259259267</v>
      </c>
      <c r="T137" s="14">
        <v>9.2072592592592599</v>
      </c>
      <c r="U137" s="14">
        <v>8.855407407407407</v>
      </c>
      <c r="V137" s="14">
        <v>9.1592592592592599</v>
      </c>
      <c r="W137" s="14">
        <v>9.1999999999999993</v>
      </c>
      <c r="X137" s="14">
        <v>9.068518518518518</v>
      </c>
      <c r="Y137" s="14">
        <v>9.4222222222222225</v>
      </c>
      <c r="Z137" s="14">
        <v>9.2777777777777786</v>
      </c>
      <c r="AA137" s="14">
        <v>8.9703703703703699</v>
      </c>
      <c r="AB137" s="14">
        <v>8.2407407407407405</v>
      </c>
      <c r="AC137" s="14">
        <v>8.1518518518518519</v>
      </c>
      <c r="AD137" s="14">
        <v>7.5925925925925926</v>
      </c>
      <c r="AE137" s="14">
        <v>8.1074074074074076</v>
      </c>
      <c r="AF137" s="14">
        <v>8.6</v>
      </c>
      <c r="AG137" s="14" t="e">
        <f>#REF!/13500</f>
        <v>#REF!</v>
      </c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</row>
    <row r="138" spans="1:45" ht="33.75" customHeight="1" x14ac:dyDescent="0.2"/>
    <row r="139" spans="1:45" ht="33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 spans="1:45" ht="33.75" customHeight="1" x14ac:dyDescent="0.2">
      <c r="A140" s="6"/>
      <c r="B140" s="7">
        <v>45839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</row>
    <row r="141" spans="1:45" ht="33.75" customHeight="1" x14ac:dyDescent="0.2">
      <c r="A141" s="9"/>
      <c r="B141" s="9" t="s">
        <v>1</v>
      </c>
      <c r="C141" s="10">
        <v>45838</v>
      </c>
      <c r="D141" s="10">
        <v>45839</v>
      </c>
      <c r="E141" s="10">
        <v>45840</v>
      </c>
      <c r="F141" s="10">
        <v>45841</v>
      </c>
      <c r="G141" s="10">
        <v>45842</v>
      </c>
      <c r="H141" s="10">
        <v>45843</v>
      </c>
      <c r="I141" s="10">
        <v>45844</v>
      </c>
      <c r="J141" s="10">
        <v>45845</v>
      </c>
      <c r="K141" s="10">
        <v>45846</v>
      </c>
      <c r="L141" s="10">
        <v>45847</v>
      </c>
      <c r="M141" s="10">
        <v>45848</v>
      </c>
      <c r="N141" s="10">
        <v>45849</v>
      </c>
      <c r="O141" s="10">
        <v>45850</v>
      </c>
      <c r="P141" s="10">
        <v>45851</v>
      </c>
      <c r="Q141" s="10">
        <v>45852</v>
      </c>
      <c r="R141" s="10">
        <v>45853</v>
      </c>
      <c r="S141" s="10">
        <v>45854</v>
      </c>
      <c r="T141" s="10">
        <v>45855</v>
      </c>
      <c r="U141" s="10">
        <v>45856</v>
      </c>
      <c r="V141" s="10">
        <v>45857</v>
      </c>
      <c r="W141" s="10">
        <v>45858</v>
      </c>
      <c r="X141" s="10">
        <v>45859</v>
      </c>
      <c r="Y141" s="10">
        <v>45860</v>
      </c>
      <c r="Z141" s="10">
        <v>45861</v>
      </c>
      <c r="AA141" s="10">
        <v>45862</v>
      </c>
      <c r="AB141" s="10">
        <v>45863</v>
      </c>
      <c r="AC141" s="10">
        <v>45864</v>
      </c>
      <c r="AD141" s="10">
        <v>45865</v>
      </c>
      <c r="AE141" s="10">
        <v>45866</v>
      </c>
      <c r="AF141" s="10">
        <v>45867</v>
      </c>
      <c r="AG141" s="10">
        <v>45868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 spans="1:45" ht="33.75" customHeight="1" x14ac:dyDescent="0.2">
      <c r="A142" s="12" t="s">
        <v>2</v>
      </c>
      <c r="B142" s="13" t="s">
        <v>8</v>
      </c>
      <c r="C142" s="14">
        <v>10.265276518518519</v>
      </c>
      <c r="D142" s="14">
        <v>9.9213765925925923</v>
      </c>
      <c r="E142" s="14">
        <v>10.974490740740741</v>
      </c>
      <c r="F142" s="14">
        <v>11.344195703703702</v>
      </c>
      <c r="G142" s="14">
        <v>10.998489777777777</v>
      </c>
      <c r="H142" s="14">
        <v>12.433984666666667</v>
      </c>
      <c r="I142" s="14">
        <v>12.694019555555554</v>
      </c>
      <c r="J142" s="14">
        <v>13.177228592592593</v>
      </c>
      <c r="K142" s="14">
        <v>13.395218074074073</v>
      </c>
      <c r="L142" s="14">
        <v>13.68125562962963</v>
      </c>
      <c r="M142" s="14">
        <v>14.454079777777777</v>
      </c>
      <c r="N142" s="14">
        <v>14.674362962962963</v>
      </c>
      <c r="O142" s="14">
        <v>14.869470814814814</v>
      </c>
      <c r="P142" s="14">
        <v>15.980090962962963</v>
      </c>
      <c r="Q142" s="14">
        <v>16.547590370370372</v>
      </c>
      <c r="R142" s="14">
        <v>17.001824296296295</v>
      </c>
      <c r="S142" s="14">
        <v>16.303374444444444</v>
      </c>
      <c r="T142" s="14">
        <v>17.143867777777778</v>
      </c>
      <c r="U142" s="14">
        <v>16.364564074074075</v>
      </c>
      <c r="V142" s="14">
        <v>16.862571481481481</v>
      </c>
      <c r="W142" s="14">
        <v>17.591491259259261</v>
      </c>
      <c r="X142" s="14">
        <v>18.190003037037037</v>
      </c>
      <c r="Y142" s="14">
        <v>17.456928962962962</v>
      </c>
      <c r="Z142" s="14">
        <v>18.30658</v>
      </c>
      <c r="AA142" s="14">
        <v>19.420330148148146</v>
      </c>
      <c r="AB142" s="14">
        <v>19.837480444444441</v>
      </c>
      <c r="AC142" s="14">
        <v>19.82530074074074</v>
      </c>
      <c r="AD142" s="14">
        <v>20.435981629629627</v>
      </c>
      <c r="AE142" s="14">
        <v>21.209502592592592</v>
      </c>
      <c r="AF142" s="14">
        <v>21.889902518518518</v>
      </c>
      <c r="AG142" s="14">
        <v>21.774231185185183</v>
      </c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</row>
    <row r="143" spans="1:45" ht="33.75" customHeight="1" x14ac:dyDescent="0.2">
      <c r="A143" s="16"/>
      <c r="B143" s="17" t="s">
        <v>9</v>
      </c>
      <c r="C143" s="14">
        <v>8.8740740740740733</v>
      </c>
      <c r="D143" s="14">
        <v>9.1888888888888882</v>
      </c>
      <c r="E143" s="14">
        <v>9.837037037037037</v>
      </c>
      <c r="F143" s="14">
        <v>10.640740740740741</v>
      </c>
      <c r="G143" s="14">
        <v>10.366666666666667</v>
      </c>
      <c r="H143" s="14">
        <v>11.437037037037037</v>
      </c>
      <c r="I143" s="14">
        <v>11.9</v>
      </c>
      <c r="J143" s="14">
        <v>12.351851851851851</v>
      </c>
      <c r="K143" s="14">
        <v>12.403703703703703</v>
      </c>
      <c r="L143" s="14">
        <v>12.685185185185185</v>
      </c>
      <c r="M143" s="14">
        <v>13.437037037037037</v>
      </c>
      <c r="N143" s="14">
        <v>13.670370370370371</v>
      </c>
      <c r="O143" s="14">
        <v>14.040740740740741</v>
      </c>
      <c r="P143" s="14">
        <v>15.007407407407408</v>
      </c>
      <c r="Q143" s="14">
        <v>15.57037037037037</v>
      </c>
      <c r="R143" s="14">
        <v>16.088888888888889</v>
      </c>
      <c r="S143" s="14">
        <v>16.025925925925925</v>
      </c>
      <c r="T143" s="14">
        <v>16.055555555555557</v>
      </c>
      <c r="U143" s="14">
        <v>15.877777777777778</v>
      </c>
      <c r="V143" s="14">
        <v>15.803703703703704</v>
      </c>
      <c r="W143" s="14">
        <v>17.223703703703702</v>
      </c>
      <c r="X143" s="14">
        <v>17.057037037037038</v>
      </c>
      <c r="Y143" s="14">
        <v>16.823703703703703</v>
      </c>
      <c r="Z143" s="14">
        <v>17.360740740740741</v>
      </c>
      <c r="AA143" s="14">
        <v>18.788888888888888</v>
      </c>
      <c r="AB143" s="14">
        <v>18.8</v>
      </c>
      <c r="AC143" s="14">
        <v>19.262962962962963</v>
      </c>
      <c r="AD143" s="14">
        <v>19.637037037037036</v>
      </c>
      <c r="AE143" s="14">
        <v>19.988888888888887</v>
      </c>
      <c r="AF143" s="14">
        <v>21.16888888888889</v>
      </c>
      <c r="AG143" s="14">
        <v>21.10962962962963</v>
      </c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</row>
    <row r="144" spans="1:45" ht="33.75" customHeight="1" x14ac:dyDescent="0.2"/>
    <row r="145" spans="1:45" ht="33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spans="1:45" ht="33.75" customHeight="1" x14ac:dyDescent="0.2">
      <c r="A146" s="6"/>
      <c r="B146" s="7">
        <v>45870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spans="1:45" ht="33.75" customHeight="1" x14ac:dyDescent="0.2">
      <c r="A147" s="9"/>
      <c r="B147" s="9" t="s">
        <v>1</v>
      </c>
      <c r="C147" s="10">
        <v>45869</v>
      </c>
      <c r="D147" s="10">
        <v>45870</v>
      </c>
      <c r="E147" s="10">
        <v>45871</v>
      </c>
      <c r="F147" s="10">
        <v>45872</v>
      </c>
      <c r="G147" s="10">
        <v>45873</v>
      </c>
      <c r="H147" s="10">
        <v>45874</v>
      </c>
      <c r="I147" s="10">
        <v>45875</v>
      </c>
      <c r="J147" s="10">
        <v>45876</v>
      </c>
      <c r="K147" s="10">
        <v>45877</v>
      </c>
      <c r="L147" s="10">
        <v>45878</v>
      </c>
      <c r="M147" s="10">
        <v>45879</v>
      </c>
      <c r="N147" s="10">
        <v>45880</v>
      </c>
      <c r="O147" s="10">
        <v>45881</v>
      </c>
      <c r="P147" s="10">
        <v>45882</v>
      </c>
      <c r="Q147" s="10">
        <v>45883</v>
      </c>
      <c r="R147" s="10">
        <v>45884</v>
      </c>
      <c r="S147" s="10">
        <v>45885</v>
      </c>
      <c r="T147" s="10">
        <v>45886</v>
      </c>
      <c r="U147" s="10">
        <v>45887</v>
      </c>
      <c r="V147" s="10">
        <v>45888</v>
      </c>
      <c r="W147" s="10">
        <v>45889</v>
      </c>
      <c r="X147" s="10">
        <v>45890</v>
      </c>
      <c r="Y147" s="10">
        <v>45891</v>
      </c>
      <c r="Z147" s="10">
        <v>45892</v>
      </c>
      <c r="AA147" s="10">
        <v>45893</v>
      </c>
      <c r="AB147" s="10">
        <v>45894</v>
      </c>
      <c r="AC147" s="10">
        <v>45895</v>
      </c>
      <c r="AD147" s="10">
        <v>45896</v>
      </c>
      <c r="AE147" s="10">
        <v>45897</v>
      </c>
      <c r="AF147" s="10">
        <v>45898</v>
      </c>
      <c r="AG147" s="10">
        <v>45899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</row>
    <row r="148" spans="1:45" ht="33.75" customHeight="1" x14ac:dyDescent="0.2">
      <c r="A148" s="12" t="s">
        <v>2</v>
      </c>
      <c r="B148" s="13" t="s">
        <v>8</v>
      </c>
      <c r="C148" s="14">
        <v>22.447659555555553</v>
      </c>
      <c r="D148" s="14">
        <v>22.34220651851852</v>
      </c>
      <c r="E148" s="14">
        <v>22.517119037037038</v>
      </c>
      <c r="F148" s="14">
        <v>22.556631629629631</v>
      </c>
      <c r="G148" s="14">
        <v>23.220762888888888</v>
      </c>
      <c r="H148" s="14">
        <v>22.530585037037035</v>
      </c>
      <c r="I148" s="14">
        <v>22.833558148148146</v>
      </c>
      <c r="J148" s="14">
        <v>23.371588740740737</v>
      </c>
      <c r="K148" s="14">
        <v>23.536314148148147</v>
      </c>
      <c r="L148" s="14">
        <v>23.373931407407408</v>
      </c>
      <c r="M148" s="14">
        <v>23.723458000000001</v>
      </c>
      <c r="N148" s="14">
        <v>24.308287481481482</v>
      </c>
      <c r="O148" s="14">
        <v>25.235036592592593</v>
      </c>
      <c r="P148" s="14">
        <v>24.538601629629628</v>
      </c>
      <c r="Q148" s="14">
        <v>24.994472518518521</v>
      </c>
      <c r="R148" s="14">
        <v>24.728148148148147</v>
      </c>
      <c r="S148" s="14">
        <v>24.380784370370367</v>
      </c>
      <c r="T148" s="14">
        <v>24.782932222222225</v>
      </c>
      <c r="U148" s="14">
        <v>24.279555111111112</v>
      </c>
      <c r="V148" s="14">
        <v>25.864826592592593</v>
      </c>
      <c r="W148" s="14">
        <v>24.971352666666668</v>
      </c>
      <c r="X148" s="14">
        <v>24.652648814814818</v>
      </c>
      <c r="Y148" s="14">
        <v>24.420730296296295</v>
      </c>
      <c r="Z148" s="14">
        <v>24.656512888888887</v>
      </c>
      <c r="AA148" s="14">
        <v>24.827208074074075</v>
      </c>
      <c r="AB148" s="14">
        <v>24.514230296296297</v>
      </c>
      <c r="AC148" s="14">
        <v>24.055328962962964</v>
      </c>
      <c r="AD148" s="14">
        <v>24.095908962962962</v>
      </c>
      <c r="AE148" s="14">
        <v>24.384163555555553</v>
      </c>
      <c r="AF148" s="14">
        <v>24.71295125925926</v>
      </c>
      <c r="AG148" s="14">
        <v>24.281194296296299</v>
      </c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</row>
    <row r="149" spans="1:45" ht="33.75" customHeight="1" x14ac:dyDescent="0.2">
      <c r="A149" s="16"/>
      <c r="B149" s="17" t="s">
        <v>9</v>
      </c>
      <c r="C149" s="14">
        <v>20.991481481481483</v>
      </c>
      <c r="D149" s="14">
        <v>20.947037037037038</v>
      </c>
      <c r="E149" s="14">
        <v>21.117407407407409</v>
      </c>
      <c r="F149" s="14">
        <v>21.247037037037035</v>
      </c>
      <c r="G149" s="14">
        <v>21.517407407407408</v>
      </c>
      <c r="H149" s="14">
        <v>21.769259259259258</v>
      </c>
      <c r="I149" s="14">
        <v>21.643333333333334</v>
      </c>
      <c r="J149" s="14">
        <v>21.817407407407408</v>
      </c>
      <c r="K149" s="14">
        <v>22.113703703703703</v>
      </c>
      <c r="L149" s="14">
        <v>22.22851851851852</v>
      </c>
      <c r="M149" s="14">
        <v>22.369259259259259</v>
      </c>
      <c r="N149" s="14">
        <v>23.339629629629631</v>
      </c>
      <c r="O149" s="14">
        <v>23.317407407407408</v>
      </c>
      <c r="P149" s="14">
        <v>23.032222222222224</v>
      </c>
      <c r="Q149" s="14">
        <v>23.250740740740742</v>
      </c>
      <c r="R149" s="14">
        <v>23.361851851851853</v>
      </c>
      <c r="S149" s="14">
        <v>23.158148148148147</v>
      </c>
      <c r="T149" s="14">
        <v>23.395185185185184</v>
      </c>
      <c r="U149" s="14">
        <v>23.458148148148148</v>
      </c>
      <c r="V149" s="14">
        <v>24.102592592592593</v>
      </c>
      <c r="W149" s="14">
        <v>23.543333333333333</v>
      </c>
      <c r="X149" s="14">
        <v>23.217407407407407</v>
      </c>
      <c r="Y149" s="14">
        <v>22.72111111111111</v>
      </c>
      <c r="Z149" s="14">
        <v>22.817407407407408</v>
      </c>
      <c r="AA149" s="14">
        <v>22.654444444444444</v>
      </c>
      <c r="AB149" s="14">
        <v>22.443333333333332</v>
      </c>
      <c r="AC149" s="14">
        <v>21.869259259259259</v>
      </c>
      <c r="AD149" s="14">
        <v>21.935925925925925</v>
      </c>
      <c r="AE149" s="14">
        <v>22.787777777777777</v>
      </c>
      <c r="AF149" s="14">
        <v>22.561851851851852</v>
      </c>
      <c r="AG149" s="14">
        <v>22.28037037037037</v>
      </c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</row>
    <row r="150" spans="1:45" ht="33.75" customHeight="1" x14ac:dyDescent="0.2"/>
    <row r="151" spans="1:45" ht="33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 spans="1:45" ht="33.75" customHeight="1" x14ac:dyDescent="0.2">
      <c r="A152" s="6"/>
      <c r="B152" s="7">
        <v>45901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</row>
    <row r="153" spans="1:45" ht="33.75" customHeight="1" x14ac:dyDescent="0.2">
      <c r="A153" s="9"/>
      <c r="B153" s="9" t="s">
        <v>1</v>
      </c>
      <c r="C153" s="10">
        <v>45900</v>
      </c>
      <c r="D153" s="10">
        <v>45901</v>
      </c>
      <c r="E153" s="10">
        <v>45902</v>
      </c>
      <c r="F153" s="10">
        <v>45903</v>
      </c>
      <c r="G153" s="10">
        <v>45904</v>
      </c>
      <c r="H153" s="10">
        <v>45905</v>
      </c>
      <c r="I153" s="10">
        <v>45906</v>
      </c>
      <c r="J153" s="10">
        <v>45907</v>
      </c>
      <c r="K153" s="10">
        <v>45908</v>
      </c>
      <c r="L153" s="10">
        <v>45909</v>
      </c>
      <c r="M153" s="10">
        <v>45910</v>
      </c>
      <c r="N153" s="10">
        <v>45911</v>
      </c>
      <c r="O153" s="10">
        <v>45912</v>
      </c>
      <c r="P153" s="10">
        <v>45913</v>
      </c>
      <c r="Q153" s="10">
        <v>45914</v>
      </c>
      <c r="R153" s="10">
        <v>45915</v>
      </c>
      <c r="S153" s="10">
        <v>45916</v>
      </c>
      <c r="T153" s="10">
        <v>45917</v>
      </c>
      <c r="U153" s="10">
        <v>45918</v>
      </c>
      <c r="V153" s="10">
        <v>45919</v>
      </c>
      <c r="W153" s="10">
        <v>45920</v>
      </c>
      <c r="X153" s="10">
        <v>45921</v>
      </c>
      <c r="Y153" s="10">
        <v>45922</v>
      </c>
      <c r="Z153" s="10">
        <v>45923</v>
      </c>
      <c r="AA153" s="10">
        <v>45924</v>
      </c>
      <c r="AB153" s="10">
        <v>45925</v>
      </c>
      <c r="AC153" s="10">
        <v>45926</v>
      </c>
      <c r="AD153" s="10">
        <v>45927</v>
      </c>
      <c r="AE153" s="10">
        <v>45928</v>
      </c>
      <c r="AF153" s="10">
        <v>45929</v>
      </c>
      <c r="AG153" s="10">
        <v>45930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</row>
    <row r="154" spans="1:45" ht="33.75" customHeight="1" x14ac:dyDescent="0.2">
      <c r="A154" s="12" t="s">
        <v>2</v>
      </c>
      <c r="B154" s="13" t="s">
        <v>8</v>
      </c>
      <c r="C154" s="14">
        <v>24.038837777777779</v>
      </c>
      <c r="D154" s="14">
        <v>24.292202666666665</v>
      </c>
      <c r="E154" s="14">
        <v>23.854121925925927</v>
      </c>
      <c r="F154" s="14">
        <v>23.594601629629629</v>
      </c>
      <c r="G154" s="14">
        <v>24.319855037037037</v>
      </c>
      <c r="H154" s="14">
        <v>23.979829629629631</v>
      </c>
      <c r="I154" s="14">
        <v>24.90305740740741</v>
      </c>
      <c r="J154" s="14">
        <v>23.845026074074074</v>
      </c>
      <c r="K154" s="14">
        <v>24.039345037037037</v>
      </c>
      <c r="L154" s="14">
        <v>23.835693111111112</v>
      </c>
      <c r="M154" s="14">
        <v>24.208952148148146</v>
      </c>
      <c r="N154" s="14">
        <v>24.639538444444444</v>
      </c>
      <c r="O154" s="14">
        <v>24.668796</v>
      </c>
      <c r="P154" s="14">
        <v>24.948105555555554</v>
      </c>
      <c r="Q154" s="14">
        <v>24.491439481481482</v>
      </c>
      <c r="R154" s="14">
        <v>24.032801333333335</v>
      </c>
      <c r="S154" s="14">
        <v>24.271079851851852</v>
      </c>
      <c r="T154" s="14">
        <v>24.653511111111111</v>
      </c>
      <c r="U154" s="14">
        <v>24.25479548148148</v>
      </c>
      <c r="V154" s="14">
        <v>25.054886962962961</v>
      </c>
      <c r="W154" s="14">
        <v>24.096088814814816</v>
      </c>
      <c r="X154" s="14">
        <v>23.607328370370372</v>
      </c>
      <c r="Y154" s="14">
        <v>23.760969185185182</v>
      </c>
      <c r="Z154" s="14">
        <v>22.607229555555556</v>
      </c>
      <c r="AA154" s="14">
        <v>22.295227185185183</v>
      </c>
      <c r="AB154" s="14">
        <v>21.206674814814814</v>
      </c>
      <c r="AC154" s="14">
        <v>20.059963555555555</v>
      </c>
      <c r="AD154" s="14">
        <v>19.601405185185182</v>
      </c>
      <c r="AE154" s="14">
        <v>19.879507037037033</v>
      </c>
      <c r="AF154" s="14">
        <v>19.846100666666665</v>
      </c>
      <c r="AG154" s="14">
        <v>20.329251777777777</v>
      </c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</row>
    <row r="155" spans="1:45" ht="33.75" customHeight="1" x14ac:dyDescent="0.2">
      <c r="A155" s="16"/>
      <c r="B155" s="17" t="s">
        <v>9</v>
      </c>
      <c r="C155" s="14">
        <v>22.195185185185185</v>
      </c>
      <c r="D155" s="14">
        <v>21.995185185185186</v>
      </c>
      <c r="E155" s="14">
        <v>22.165555555555557</v>
      </c>
      <c r="F155" s="14">
        <v>22.202592592592591</v>
      </c>
      <c r="G155" s="14">
        <v>22.321111111111112</v>
      </c>
      <c r="H155" s="14">
        <v>22.387777777777778</v>
      </c>
      <c r="I155" s="14">
        <v>22.321111111111112</v>
      </c>
      <c r="J155" s="14">
        <v>22.347037037037037</v>
      </c>
      <c r="K155" s="14">
        <v>21.787777777777777</v>
      </c>
      <c r="L155" s="14">
        <v>21.798888888888889</v>
      </c>
      <c r="M155" s="14">
        <v>22.28037037037037</v>
      </c>
      <c r="N155" s="14">
        <v>22.484074074074073</v>
      </c>
      <c r="O155" s="14">
        <v>22.695185185185185</v>
      </c>
      <c r="P155" s="14">
        <v>22.647037037037038</v>
      </c>
      <c r="Q155" s="14">
        <v>22.643333333333334</v>
      </c>
      <c r="R155" s="14">
        <v>22.354444444444443</v>
      </c>
      <c r="S155" s="14">
        <v>22.72111111111111</v>
      </c>
      <c r="T155" s="14">
        <v>22.791481481481483</v>
      </c>
      <c r="U155" s="14">
        <v>22.602592592592593</v>
      </c>
      <c r="V155" s="14">
        <v>22.41</v>
      </c>
      <c r="W155" s="14">
        <v>21.691259259259258</v>
      </c>
      <c r="X155" s="14">
        <v>21.443333333333332</v>
      </c>
      <c r="Y155" s="14">
        <v>21.884074074074075</v>
      </c>
      <c r="Z155" s="14">
        <v>20.384074074074075</v>
      </c>
      <c r="AA155" s="14">
        <v>19.484074074074073</v>
      </c>
      <c r="AB155" s="14">
        <v>18.345185185185183</v>
      </c>
      <c r="AC155" s="14">
        <v>16.984074074074073</v>
      </c>
      <c r="AD155" s="14">
        <v>16.632222222222222</v>
      </c>
      <c r="AE155" s="14">
        <v>16.661851851851853</v>
      </c>
      <c r="AF155" s="14">
        <v>16.85814814814815</v>
      </c>
      <c r="AG155" s="14">
        <v>17.315555555555555</v>
      </c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</row>
    <row r="156" spans="1:45" ht="33.75" customHeight="1" x14ac:dyDescent="0.2"/>
    <row r="157" spans="1:45" ht="33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 spans="1:45" ht="33.75" customHeight="1" x14ac:dyDescent="0.2">
      <c r="A158" s="6"/>
      <c r="B158" s="7">
        <v>45931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spans="1:45" ht="33.75" customHeight="1" x14ac:dyDescent="0.2">
      <c r="A159" s="9"/>
      <c r="B159" s="9" t="s">
        <v>1</v>
      </c>
      <c r="C159" s="10">
        <v>45931</v>
      </c>
      <c r="D159" s="10">
        <v>45932</v>
      </c>
      <c r="E159" s="10">
        <v>45933</v>
      </c>
      <c r="F159" s="10">
        <v>45934</v>
      </c>
      <c r="G159" s="10">
        <v>45935</v>
      </c>
      <c r="H159" s="10">
        <v>45936</v>
      </c>
      <c r="I159" s="10">
        <v>45937</v>
      </c>
      <c r="J159" s="10">
        <v>45938</v>
      </c>
      <c r="K159" s="10">
        <v>45939</v>
      </c>
      <c r="L159" s="10">
        <v>45940</v>
      </c>
      <c r="M159" s="10">
        <v>45941</v>
      </c>
      <c r="N159" s="10">
        <v>45942</v>
      </c>
      <c r="O159" s="10">
        <v>45943</v>
      </c>
      <c r="P159" s="10">
        <v>45944</v>
      </c>
      <c r="Q159" s="10">
        <v>45945</v>
      </c>
      <c r="R159" s="10">
        <v>45946</v>
      </c>
      <c r="S159" s="10">
        <v>45947</v>
      </c>
      <c r="T159" s="10">
        <v>45948</v>
      </c>
      <c r="U159" s="10">
        <v>45949</v>
      </c>
      <c r="V159" s="10">
        <v>45950</v>
      </c>
      <c r="W159" s="10">
        <v>45951</v>
      </c>
      <c r="X159" s="10">
        <v>45952</v>
      </c>
      <c r="Y159" s="10">
        <v>45953</v>
      </c>
      <c r="Z159" s="10">
        <v>45954</v>
      </c>
      <c r="AA159" s="10">
        <v>45955</v>
      </c>
      <c r="AB159" s="10">
        <v>45956</v>
      </c>
      <c r="AC159" s="10">
        <v>45957</v>
      </c>
      <c r="AD159" s="10">
        <v>45958</v>
      </c>
      <c r="AE159" s="10">
        <v>45959</v>
      </c>
      <c r="AF159" s="10">
        <v>45960</v>
      </c>
      <c r="AG159" s="10">
        <v>45961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</row>
    <row r="160" spans="1:45" ht="33.75" customHeight="1" x14ac:dyDescent="0.2">
      <c r="A160" s="12" t="s">
        <v>2</v>
      </c>
      <c r="B160" s="13" t="s">
        <v>8</v>
      </c>
      <c r="C160" s="14">
        <v>20.676182962962962</v>
      </c>
      <c r="D160" s="14">
        <v>20.187125925925926</v>
      </c>
      <c r="E160" s="14">
        <v>20.621822074074075</v>
      </c>
      <c r="F160" s="14">
        <v>20.69796651851852</v>
      </c>
      <c r="G160" s="14">
        <v>20.443609481481481</v>
      </c>
      <c r="H160" s="14">
        <v>20.583697703703702</v>
      </c>
      <c r="I160" s="14">
        <v>20.316740666666668</v>
      </c>
      <c r="J160" s="14">
        <v>19.90834814814815</v>
      </c>
      <c r="K160" s="14">
        <v>20.18263962962963</v>
      </c>
      <c r="L160" s="14">
        <v>20.289673259259256</v>
      </c>
      <c r="M160" s="14">
        <v>20.029055481481482</v>
      </c>
      <c r="N160" s="14">
        <v>20.104396148148147</v>
      </c>
      <c r="O160" s="14">
        <v>19.629558444444445</v>
      </c>
      <c r="P160" s="14">
        <v>19.73247688888889</v>
      </c>
      <c r="Q160" s="14">
        <v>19.896923185185184</v>
      </c>
      <c r="R160" s="14">
        <v>20.049404148148149</v>
      </c>
      <c r="S160" s="14">
        <v>19.488791037037036</v>
      </c>
      <c r="T160" s="14">
        <v>19.634321333333332</v>
      </c>
      <c r="U160" s="14">
        <v>19.023866370370371</v>
      </c>
      <c r="V160" s="14">
        <v>18.793107481481481</v>
      </c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</row>
    <row r="161" spans="1:45" ht="33.75" customHeight="1" x14ac:dyDescent="0.2">
      <c r="A161" s="16"/>
      <c r="B161" s="17" t="s">
        <v>9</v>
      </c>
      <c r="C161" s="14">
        <v>17.354444444444443</v>
      </c>
      <c r="D161" s="14">
        <v>17.301481481481481</v>
      </c>
      <c r="E161" s="14">
        <v>17.286666666666665</v>
      </c>
      <c r="F161" s="14">
        <v>17.086666666666666</v>
      </c>
      <c r="G161" s="14">
        <v>16.860740740740741</v>
      </c>
      <c r="H161" s="14">
        <v>16.764444444444443</v>
      </c>
      <c r="I161" s="14">
        <v>16.690370370370371</v>
      </c>
      <c r="J161" s="14">
        <v>16.408888888888889</v>
      </c>
      <c r="K161" s="14">
        <v>16.601481481481482</v>
      </c>
      <c r="L161" s="14">
        <v>16.297777777777778</v>
      </c>
      <c r="M161" s="14">
        <v>16.116296296296298</v>
      </c>
      <c r="N161" s="14">
        <v>15.738518518518518</v>
      </c>
      <c r="O161" s="14">
        <v>15.944444444444445</v>
      </c>
      <c r="P161" s="14">
        <v>15.994074074074074</v>
      </c>
      <c r="Q161" s="14">
        <v>16.090370370370369</v>
      </c>
      <c r="R161" s="14">
        <v>15.768148148148148</v>
      </c>
      <c r="S161" s="14">
        <v>16.053333333333335</v>
      </c>
      <c r="T161" s="14">
        <v>15.345925925925926</v>
      </c>
      <c r="U161" s="14">
        <v>14.960740740740741</v>
      </c>
      <c r="V161" s="14">
        <v>14.671851851851851</v>
      </c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</row>
    <row r="162" spans="1:45" ht="33.75" customHeight="1" x14ac:dyDescent="0.2"/>
    <row r="163" spans="1:45" ht="33.75" customHeight="1" x14ac:dyDescent="0.2">
      <c r="A163" s="6"/>
      <c r="B163" s="7">
        <v>46023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</row>
    <row r="164" spans="1:45" ht="33.75" customHeight="1" x14ac:dyDescent="0.2">
      <c r="A164" s="9"/>
      <c r="B164" s="9" t="s">
        <v>1</v>
      </c>
      <c r="C164" s="10">
        <v>46023</v>
      </c>
      <c r="D164" s="10">
        <v>46024</v>
      </c>
      <c r="E164" s="10">
        <v>46025</v>
      </c>
      <c r="F164" s="10">
        <v>46026</v>
      </c>
      <c r="G164" s="10">
        <v>46027</v>
      </c>
      <c r="H164" s="10">
        <v>46028</v>
      </c>
      <c r="I164" s="10">
        <v>46029</v>
      </c>
      <c r="J164" s="10">
        <v>46030</v>
      </c>
      <c r="K164" s="10">
        <v>46031</v>
      </c>
      <c r="L164" s="10">
        <v>46032</v>
      </c>
      <c r="M164" s="10">
        <v>46033</v>
      </c>
      <c r="N164" s="10">
        <v>46034</v>
      </c>
      <c r="O164" s="10">
        <v>46035</v>
      </c>
      <c r="P164" s="10">
        <v>46036</v>
      </c>
      <c r="Q164" s="10">
        <v>46037</v>
      </c>
      <c r="R164" s="10">
        <v>46038</v>
      </c>
      <c r="S164" s="10">
        <v>46039</v>
      </c>
      <c r="T164" s="10">
        <v>46040</v>
      </c>
      <c r="U164" s="10">
        <v>46041</v>
      </c>
      <c r="V164" s="10">
        <v>46042</v>
      </c>
      <c r="W164" s="10">
        <v>46043</v>
      </c>
      <c r="X164" s="10">
        <v>46044</v>
      </c>
      <c r="Y164" s="10">
        <v>46045</v>
      </c>
      <c r="Z164" s="10">
        <v>46046</v>
      </c>
      <c r="AA164" s="10">
        <v>46047</v>
      </c>
      <c r="AB164" s="10">
        <v>46048</v>
      </c>
      <c r="AC164" s="10">
        <v>46049</v>
      </c>
      <c r="AD164" s="10">
        <v>46050</v>
      </c>
      <c r="AE164" s="10">
        <v>46051</v>
      </c>
      <c r="AF164" s="10">
        <v>46052</v>
      </c>
      <c r="AG164" s="10">
        <v>46053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</row>
    <row r="165" spans="1:45" ht="33.75" customHeight="1" x14ac:dyDescent="0.2">
      <c r="A165" s="12" t="s">
        <v>2</v>
      </c>
      <c r="B165" s="13" t="s">
        <v>8</v>
      </c>
      <c r="C165" s="14">
        <v>7.8874425185185189</v>
      </c>
      <c r="D165" s="14">
        <v>7.4983470370370364</v>
      </c>
      <c r="E165" s="14">
        <v>7.7590907407407412</v>
      </c>
      <c r="F165" s="14">
        <v>7.8731187407407406</v>
      </c>
      <c r="G165" s="14">
        <v>7.3639380740740741</v>
      </c>
      <c r="H165" s="14">
        <v>7.7148218518518519</v>
      </c>
      <c r="I165" s="14">
        <v>7.3233521481481478</v>
      </c>
      <c r="J165" s="14">
        <v>7.5780614074074073</v>
      </c>
      <c r="K165" s="14">
        <v>7.083721481481482</v>
      </c>
      <c r="L165" s="14">
        <v>7.1947855555555549</v>
      </c>
      <c r="M165" s="14">
        <v>7.2388923703703707</v>
      </c>
      <c r="N165" s="14">
        <v>6.2325428148148143</v>
      </c>
      <c r="O165" s="14">
        <v>6.1169337037037037</v>
      </c>
      <c r="P165" s="14">
        <v>5.2801008888888887</v>
      </c>
      <c r="Q165" s="14">
        <v>5.7780454814814819</v>
      </c>
      <c r="R165" s="14">
        <v>5.5219088148148145</v>
      </c>
      <c r="S165" s="14">
        <v>6.159118814814815</v>
      </c>
      <c r="T165" s="14">
        <v>6.0482850370370365</v>
      </c>
      <c r="U165" s="14">
        <v>5.1742934814814818</v>
      </c>
      <c r="V165" s="14">
        <v>5.6724108148148149</v>
      </c>
      <c r="W165" s="14">
        <v>5.4911795555555551</v>
      </c>
      <c r="X165" s="14">
        <v>4.6520418518518518</v>
      </c>
      <c r="Y165" s="14">
        <v>4.493724962962963</v>
      </c>
      <c r="Z165" s="14">
        <v>4.4903302962962961</v>
      </c>
      <c r="AA165" s="14">
        <v>4.601735333333334</v>
      </c>
      <c r="AB165" s="14">
        <v>4.5641484444444442</v>
      </c>
      <c r="AC165" s="14">
        <v>4.9883765925925925</v>
      </c>
      <c r="AD165" s="14">
        <v>4.8287939259259263</v>
      </c>
      <c r="AE165" s="14">
        <v>4.878012</v>
      </c>
      <c r="AF165" s="14">
        <v>5.5459835555555559</v>
      </c>
      <c r="AG165" s="14">
        <v>6.1778983703703698</v>
      </c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</row>
    <row r="166" spans="1:45" ht="33.75" customHeight="1" x14ac:dyDescent="0.2">
      <c r="A166" s="16"/>
      <c r="B166" s="17" t="s">
        <v>9</v>
      </c>
      <c r="C166" s="14">
        <v>5.2592592592592595</v>
      </c>
      <c r="D166" s="14">
        <v>5.4481481481481477</v>
      </c>
      <c r="E166" s="14">
        <v>5.7666666666666666</v>
      </c>
      <c r="F166" s="14">
        <v>5.9370370370370367</v>
      </c>
      <c r="G166" s="14">
        <v>5.9703703703703708</v>
      </c>
      <c r="H166" s="14">
        <v>5.8481481481481481</v>
      </c>
      <c r="I166" s="14">
        <v>5.9629629629629628</v>
      </c>
      <c r="J166" s="14">
        <v>5.9296296296296296</v>
      </c>
      <c r="K166" s="14">
        <v>5.7814814814814817</v>
      </c>
      <c r="L166" s="14">
        <v>5.5925925925925926</v>
      </c>
      <c r="M166" s="14">
        <v>5.5111111111111111</v>
      </c>
      <c r="N166" s="14">
        <v>5.162962962962963</v>
      </c>
      <c r="O166" s="14">
        <v>4.9148148148148145</v>
      </c>
      <c r="P166" s="14">
        <v>4.674074074074074</v>
      </c>
      <c r="Q166" s="14">
        <v>4.6037037037037036</v>
      </c>
      <c r="R166" s="14">
        <v>4.6555555555555559</v>
      </c>
      <c r="S166" s="14">
        <v>4.9000000000000004</v>
      </c>
      <c r="T166" s="14">
        <v>4.6703703703703701</v>
      </c>
      <c r="U166" s="14">
        <v>4.3592592592592592</v>
      </c>
      <c r="V166" s="14">
        <v>4.1888888888888891</v>
      </c>
      <c r="W166" s="14">
        <v>3.9518518518518517</v>
      </c>
      <c r="X166" s="14">
        <v>3.3740740740740742</v>
      </c>
      <c r="Y166" s="14">
        <v>3.251851851851852</v>
      </c>
      <c r="Z166" s="14">
        <v>3.2962962962962963</v>
      </c>
      <c r="AA166" s="14">
        <v>3.4222222222222221</v>
      </c>
      <c r="AB166" s="14">
        <v>3.3814814814814813</v>
      </c>
      <c r="AC166" s="14">
        <v>3.8222222222222224</v>
      </c>
      <c r="AD166" s="14">
        <v>4.1703703703703701</v>
      </c>
      <c r="AE166" s="14">
        <v>4.3814814814814813</v>
      </c>
      <c r="AF166" s="14">
        <v>4.4814814814814818</v>
      </c>
      <c r="AG166" s="14">
        <v>5.1259259259259258</v>
      </c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</row>
    <row r="167" spans="1:45" ht="33.75" customHeight="1" x14ac:dyDescent="0.2"/>
    <row r="168" spans="1:45" ht="33.75" customHeight="1" x14ac:dyDescent="0.2">
      <c r="A168" s="6"/>
      <c r="B168" s="7">
        <v>46054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45" ht="33.75" customHeight="1" x14ac:dyDescent="0.2">
      <c r="A169" s="9"/>
      <c r="B169" s="9" t="s">
        <v>1</v>
      </c>
      <c r="C169" s="10">
        <v>46054</v>
      </c>
      <c r="D169" s="10">
        <v>46055</v>
      </c>
      <c r="E169" s="10">
        <v>46056</v>
      </c>
      <c r="F169" s="10">
        <v>46057</v>
      </c>
      <c r="G169" s="10">
        <v>46058</v>
      </c>
      <c r="H169" s="10">
        <v>46059</v>
      </c>
      <c r="I169" s="10">
        <v>46060</v>
      </c>
      <c r="J169" s="10">
        <v>46061</v>
      </c>
      <c r="K169" s="10">
        <v>46062</v>
      </c>
      <c r="L169" s="10">
        <v>46063</v>
      </c>
      <c r="M169" s="10">
        <v>46064</v>
      </c>
      <c r="N169" s="10">
        <v>46065</v>
      </c>
      <c r="O169" s="10">
        <v>46066</v>
      </c>
      <c r="P169" s="10">
        <v>46067</v>
      </c>
      <c r="Q169" s="10">
        <v>46068</v>
      </c>
      <c r="R169" s="10">
        <v>46069</v>
      </c>
      <c r="S169" s="10">
        <v>46070</v>
      </c>
      <c r="T169" s="10">
        <v>46071</v>
      </c>
      <c r="U169" s="10">
        <v>46072</v>
      </c>
      <c r="V169" s="10">
        <v>46073</v>
      </c>
      <c r="W169" s="10">
        <v>46074</v>
      </c>
      <c r="X169" s="10">
        <v>46075</v>
      </c>
      <c r="Y169" s="10">
        <v>46076</v>
      </c>
      <c r="Z169" s="10">
        <v>46077</v>
      </c>
      <c r="AA169" s="10">
        <v>46078</v>
      </c>
      <c r="AB169" s="10">
        <v>46079</v>
      </c>
      <c r="AC169" s="10">
        <v>46080</v>
      </c>
      <c r="AD169" s="10">
        <v>46081</v>
      </c>
    </row>
    <row r="170" spans="1:45" ht="33.75" customHeight="1" x14ac:dyDescent="0.2">
      <c r="A170" s="12" t="s">
        <v>2</v>
      </c>
      <c r="B170" s="13" t="s">
        <v>8</v>
      </c>
      <c r="C170" s="14">
        <v>5.2969177777777778</v>
      </c>
      <c r="D170" s="14">
        <v>5.6208415555555558</v>
      </c>
      <c r="E170" s="14">
        <v>6.1215868148148154</v>
      </c>
      <c r="F170" s="14">
        <v>7.2497311851851851</v>
      </c>
      <c r="G170" s="14">
        <v>6.8936405185185183</v>
      </c>
      <c r="H170" s="14">
        <v>7.390973481481482</v>
      </c>
      <c r="I170" s="14">
        <v>7.6468668148148149</v>
      </c>
      <c r="J170" s="14">
        <v>8.6624377777777788</v>
      </c>
      <c r="K170" s="14">
        <v>8.9364591851851856</v>
      </c>
      <c r="L170" s="14">
        <v>9.8985725925925934</v>
      </c>
      <c r="M170" s="14">
        <v>9.9589151851851856</v>
      </c>
      <c r="N170" s="14">
        <v>10.192170148148147</v>
      </c>
      <c r="O170" s="14">
        <v>10.303813185185186</v>
      </c>
      <c r="P170" s="14">
        <v>10.386222370370371</v>
      </c>
      <c r="Q170" s="14">
        <v>10.604962074074075</v>
      </c>
      <c r="R170" s="14">
        <v>11.431326518518517</v>
      </c>
      <c r="S170" s="14">
        <v>11.621896074074074</v>
      </c>
      <c r="T170" s="14">
        <v>11.657551925925926</v>
      </c>
      <c r="U170" s="14">
        <v>11.039328296296297</v>
      </c>
      <c r="V170" s="14">
        <v>10.580641037037038</v>
      </c>
      <c r="W170" s="14">
        <v>10.681651777777777</v>
      </c>
      <c r="X170" s="14">
        <v>10.314444888888888</v>
      </c>
      <c r="Y170" s="14">
        <v>9.9620203703703698</v>
      </c>
      <c r="Z170" s="14">
        <v>10.303806222222221</v>
      </c>
      <c r="AA170" s="14">
        <v>11.074412444444445</v>
      </c>
      <c r="AB170" s="14">
        <v>11.266500740740742</v>
      </c>
      <c r="AC170" s="14">
        <v>10.126114518518518</v>
      </c>
      <c r="AD170" s="14">
        <v>11.02818088888889</v>
      </c>
    </row>
    <row r="171" spans="1:45" ht="33.75" customHeight="1" x14ac:dyDescent="0.2">
      <c r="A171" s="16"/>
      <c r="B171" s="17" t="s">
        <v>9</v>
      </c>
      <c r="C171" s="14">
        <v>4.9000000000000004</v>
      </c>
      <c r="D171" s="14">
        <v>4.8111111111111109</v>
      </c>
      <c r="E171" s="14">
        <v>5.1462962962962964</v>
      </c>
      <c r="F171" s="14">
        <v>6.0407407407407403</v>
      </c>
      <c r="G171" s="14">
        <v>6.1185185185185187</v>
      </c>
      <c r="H171" s="14">
        <v>6.659259259259259</v>
      </c>
      <c r="I171" s="14">
        <v>6.7925925925925927</v>
      </c>
      <c r="J171" s="14">
        <v>7.8111111111111109</v>
      </c>
      <c r="K171" s="14">
        <v>8.174074074074074</v>
      </c>
      <c r="L171" s="14">
        <v>9.1588888888888889</v>
      </c>
      <c r="M171" s="14">
        <v>8.9922222222222228</v>
      </c>
      <c r="N171" s="14">
        <v>9.2477777777777774</v>
      </c>
      <c r="O171" s="14">
        <v>9.3477777777777771</v>
      </c>
      <c r="P171" s="14">
        <v>9.6551851851851858</v>
      </c>
      <c r="Q171" s="14">
        <v>10.025555555555556</v>
      </c>
      <c r="R171" s="14">
        <v>10.971111111111112</v>
      </c>
      <c r="S171" s="14">
        <v>11.008148148148148</v>
      </c>
      <c r="T171" s="14">
        <v>10.641481481481481</v>
      </c>
      <c r="U171" s="14">
        <v>10.308148148148149</v>
      </c>
      <c r="V171" s="14">
        <v>9.9600000000000009</v>
      </c>
      <c r="W171" s="14">
        <v>9.6896296296296303</v>
      </c>
      <c r="X171" s="14">
        <v>9.3222222222222229</v>
      </c>
      <c r="Y171" s="14">
        <v>9.0488888888888894</v>
      </c>
      <c r="Z171" s="14">
        <v>9.6103703703703705</v>
      </c>
      <c r="AA171" s="14">
        <v>9.8918518518518521</v>
      </c>
      <c r="AB171" s="14">
        <v>9.8770370370370362</v>
      </c>
      <c r="AC171" s="14">
        <v>9.2770370370370365</v>
      </c>
      <c r="AD171" s="14">
        <v>9.2881481481481476</v>
      </c>
    </row>
    <row r="172" spans="1:45" ht="33.75" customHeight="1" x14ac:dyDescent="0.2"/>
    <row r="173" spans="1:45" ht="33.75" customHeight="1" x14ac:dyDescent="0.2">
      <c r="A173" s="6"/>
      <c r="B173" s="7">
        <v>46082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45" ht="33.75" customHeight="1" x14ac:dyDescent="0.2">
      <c r="A174" s="9"/>
      <c r="B174" s="9" t="s">
        <v>1</v>
      </c>
      <c r="C174" s="10">
        <v>46082</v>
      </c>
      <c r="D174" s="10">
        <v>46083</v>
      </c>
      <c r="E174" s="10">
        <v>46084</v>
      </c>
      <c r="F174" s="10">
        <v>46085</v>
      </c>
      <c r="G174" s="10">
        <v>46086</v>
      </c>
      <c r="H174" s="10">
        <v>46087</v>
      </c>
      <c r="I174" s="10">
        <v>46088</v>
      </c>
      <c r="J174" s="10">
        <v>46089</v>
      </c>
      <c r="K174" s="10">
        <v>46090</v>
      </c>
      <c r="L174" s="10">
        <v>46091</v>
      </c>
      <c r="M174" s="10">
        <v>46092</v>
      </c>
      <c r="N174" s="10">
        <v>46093</v>
      </c>
      <c r="O174" s="10">
        <v>46094</v>
      </c>
      <c r="P174" s="10">
        <v>46095</v>
      </c>
      <c r="Q174" s="10">
        <v>46096</v>
      </c>
      <c r="R174" s="10">
        <v>46097</v>
      </c>
      <c r="S174" s="10">
        <v>46098</v>
      </c>
      <c r="T174" s="10">
        <v>46099</v>
      </c>
      <c r="U174" s="10">
        <v>46100</v>
      </c>
      <c r="V174" s="10">
        <v>46101</v>
      </c>
      <c r="W174" s="10">
        <v>46102</v>
      </c>
      <c r="X174" s="10">
        <v>46103</v>
      </c>
      <c r="Y174" s="10">
        <v>46104</v>
      </c>
      <c r="Z174" s="10">
        <v>46105</v>
      </c>
      <c r="AA174" s="10">
        <v>46106</v>
      </c>
      <c r="AB174" s="10">
        <v>46107</v>
      </c>
      <c r="AC174" s="10">
        <v>46108</v>
      </c>
      <c r="AD174" s="10">
        <v>46109</v>
      </c>
      <c r="AE174" s="10">
        <v>46110</v>
      </c>
      <c r="AF174" s="10">
        <v>46111</v>
      </c>
      <c r="AG174" s="10">
        <v>46112</v>
      </c>
    </row>
    <row r="175" spans="1:45" ht="33.75" customHeight="1" x14ac:dyDescent="0.2">
      <c r="A175" s="12" t="s">
        <v>2</v>
      </c>
      <c r="B175" s="13" t="s">
        <v>8</v>
      </c>
      <c r="C175" s="14">
        <v>11.096230444444444</v>
      </c>
      <c r="D175" s="14">
        <v>10.53236237037037</v>
      </c>
      <c r="E175" s="14">
        <v>10.705619925925927</v>
      </c>
      <c r="F175" s="14">
        <v>10.76579688888889</v>
      </c>
      <c r="G175" s="14">
        <v>10.991578888888888</v>
      </c>
      <c r="H175" s="14">
        <v>11.128469111111112</v>
      </c>
      <c r="I175" s="14">
        <v>11.271613407407406</v>
      </c>
      <c r="J175" s="14">
        <v>10.884503703703702</v>
      </c>
      <c r="K175" s="14">
        <v>11.528201333333334</v>
      </c>
      <c r="L175" s="14">
        <v>11.825862666666668</v>
      </c>
      <c r="M175" s="14">
        <v>12.006788814814815</v>
      </c>
      <c r="N175" s="14">
        <v>11.590585185185185</v>
      </c>
      <c r="O175" s="14">
        <v>11.772624962962963</v>
      </c>
      <c r="P175" s="14">
        <v>11.188377851851852</v>
      </c>
      <c r="Q175" s="14">
        <v>12.09580437037037</v>
      </c>
      <c r="R175" s="14">
        <v>12.124089185185184</v>
      </c>
      <c r="S175" s="14">
        <v>12.370266814814816</v>
      </c>
      <c r="T175" s="14">
        <v>12.021853851851851</v>
      </c>
      <c r="U175" s="14">
        <v>12.300174814814813</v>
      </c>
      <c r="V175" s="14">
        <v>11.917454296296297</v>
      </c>
      <c r="W175" s="14">
        <v>11.82475962962963</v>
      </c>
      <c r="X175" s="14">
        <v>12.099064962962963</v>
      </c>
      <c r="Y175" s="14">
        <v>12.903008962962964</v>
      </c>
      <c r="Z175" s="14">
        <v>12.468416370370372</v>
      </c>
      <c r="AA175" s="14">
        <v>11.947918222222222</v>
      </c>
      <c r="AB175" s="14">
        <v>10.880449481481481</v>
      </c>
      <c r="AC175" s="14">
        <v>10.375498296296298</v>
      </c>
      <c r="AD175" s="14">
        <v>10.308516814814816</v>
      </c>
      <c r="AE175">
        <v>9.0976588888888887</v>
      </c>
      <c r="AF175">
        <v>8.5384042962962958</v>
      </c>
      <c r="AG175">
        <v>7.3813223703703699</v>
      </c>
    </row>
    <row r="176" spans="1:45" ht="33.75" customHeight="1" x14ac:dyDescent="0.2">
      <c r="A176" s="16"/>
      <c r="B176" s="17" t="s">
        <v>9</v>
      </c>
      <c r="C176" s="14">
        <v>9.3992592592592601</v>
      </c>
      <c r="D176" s="14">
        <v>9.3325925925925919</v>
      </c>
      <c r="E176" s="14">
        <v>9.380740740740741</v>
      </c>
      <c r="F176" s="14">
        <v>9.5622222222222231</v>
      </c>
      <c r="G176" s="14">
        <v>9.6251851851851846</v>
      </c>
      <c r="H176" s="14">
        <v>9.7103703703703701</v>
      </c>
      <c r="I176" s="14">
        <v>9.5585185185185182</v>
      </c>
      <c r="J176" s="14">
        <v>9.7733333333333334</v>
      </c>
      <c r="K176" s="14">
        <v>10.34074074074074</v>
      </c>
      <c r="L176" s="14">
        <v>10.366666666666667</v>
      </c>
      <c r="M176" s="14">
        <v>10.166666666666666</v>
      </c>
      <c r="N176" s="14">
        <v>10.07037037037037</v>
      </c>
      <c r="O176" s="14">
        <v>9.8037037037037038</v>
      </c>
      <c r="P176" s="14">
        <v>9.7592592592592595</v>
      </c>
      <c r="Q176" s="14">
        <v>10.456296296296296</v>
      </c>
      <c r="R176" s="14">
        <v>10.300740740740741</v>
      </c>
      <c r="S176" s="14">
        <v>10.371111111111111</v>
      </c>
      <c r="T176" s="14">
        <v>10.445185185185185</v>
      </c>
      <c r="U176" s="14">
        <v>10.085925925925926</v>
      </c>
      <c r="V176" s="14">
        <v>9.811851851851852</v>
      </c>
      <c r="W176" s="14">
        <v>9.7266666666666666</v>
      </c>
      <c r="X176" s="14">
        <v>9.9414814814814818</v>
      </c>
      <c r="Y176" s="14">
        <v>10.022962962962962</v>
      </c>
      <c r="Z176" s="14">
        <v>9.467407407407407</v>
      </c>
      <c r="AA176" s="14">
        <v>9.1970370370370365</v>
      </c>
      <c r="AB176" s="14">
        <v>8.8081481481481489</v>
      </c>
      <c r="AC176" s="14">
        <v>7.8933333333333335</v>
      </c>
      <c r="AD176" s="14">
        <v>7.297037037037037</v>
      </c>
      <c r="AE176">
        <v>6.4525925925925929</v>
      </c>
      <c r="AF176">
        <v>5.2229629629629626</v>
      </c>
      <c r="AG176">
        <v>4.7222222222222223</v>
      </c>
    </row>
    <row r="177" spans="1:33" ht="33.75" customHeight="1" x14ac:dyDescent="0.2"/>
    <row r="178" spans="1:33" ht="33.75" customHeight="1" x14ac:dyDescent="0.2">
      <c r="A178" s="6"/>
      <c r="B178" s="7">
        <v>46113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3" ht="33.75" customHeight="1" x14ac:dyDescent="0.2">
      <c r="A179" s="9"/>
      <c r="B179" s="9" t="s">
        <v>1</v>
      </c>
      <c r="C179" s="10">
        <v>46113</v>
      </c>
      <c r="D179" s="10">
        <v>46114</v>
      </c>
      <c r="E179" s="10">
        <v>46115</v>
      </c>
      <c r="F179" s="10">
        <v>46116</v>
      </c>
      <c r="G179" s="10">
        <v>46117</v>
      </c>
      <c r="H179" s="10">
        <v>46118</v>
      </c>
      <c r="I179" s="10">
        <v>46119</v>
      </c>
      <c r="J179" s="10">
        <v>46120</v>
      </c>
      <c r="K179" s="10">
        <v>46121</v>
      </c>
      <c r="L179" s="10">
        <v>46122</v>
      </c>
      <c r="M179" s="10">
        <v>46123</v>
      </c>
      <c r="N179" s="10">
        <v>46124</v>
      </c>
      <c r="O179" s="10">
        <v>46125</v>
      </c>
      <c r="P179" s="10">
        <v>46126</v>
      </c>
      <c r="Q179" s="10">
        <v>46127</v>
      </c>
      <c r="R179" s="10">
        <v>46128</v>
      </c>
      <c r="S179" s="10">
        <v>46129</v>
      </c>
      <c r="T179" s="10">
        <v>46130</v>
      </c>
      <c r="U179" s="10">
        <v>46131</v>
      </c>
      <c r="V179" s="10">
        <v>46132</v>
      </c>
      <c r="W179" s="10">
        <v>46133</v>
      </c>
      <c r="X179" s="10">
        <v>46134</v>
      </c>
      <c r="Y179" s="10">
        <v>46135</v>
      </c>
      <c r="Z179" s="10">
        <v>46136</v>
      </c>
      <c r="AA179" s="10">
        <v>46137</v>
      </c>
      <c r="AB179" s="10">
        <v>46138</v>
      </c>
      <c r="AC179" s="10">
        <v>46139</v>
      </c>
      <c r="AD179" s="10">
        <v>46140</v>
      </c>
      <c r="AE179" s="10">
        <v>46141</v>
      </c>
      <c r="AF179" s="10">
        <v>46142</v>
      </c>
      <c r="AG179" s="10">
        <v>46143</v>
      </c>
    </row>
    <row r="180" spans="1:33" ht="33.75" customHeight="1" x14ac:dyDescent="0.2">
      <c r="A180" s="12" t="s">
        <v>2</v>
      </c>
      <c r="B180" s="13" t="s">
        <v>8</v>
      </c>
      <c r="C180" s="14">
        <v>6.4387651111111106</v>
      </c>
      <c r="D180" s="14">
        <v>6.252690888888889</v>
      </c>
      <c r="E180" s="14">
        <v>6.0647161481481486</v>
      </c>
      <c r="F180" s="14">
        <v>6.4630333333333327</v>
      </c>
      <c r="G180" s="14">
        <v>6.2549301481481479</v>
      </c>
      <c r="H180" s="14">
        <v>6.1174714814814815</v>
      </c>
      <c r="I180" s="14">
        <v>6.3848965185185191</v>
      </c>
      <c r="J180" s="14">
        <v>6.0410089629629633</v>
      </c>
      <c r="K180" s="14">
        <v>5.7667715555555557</v>
      </c>
      <c r="L180" s="14">
        <v>5.6455979259259257</v>
      </c>
      <c r="M180" s="14">
        <v>5.5331690370370374</v>
      </c>
      <c r="N180" s="14">
        <v>6.0619744444444441</v>
      </c>
      <c r="O180" s="14">
        <v>5.9714840000000002</v>
      </c>
      <c r="P180" s="14">
        <v>6.4365137777777779</v>
      </c>
      <c r="Q180" s="14">
        <v>6.1303639259259262</v>
      </c>
      <c r="R180" s="14">
        <v>6.6029855555555548</v>
      </c>
      <c r="S180" s="14">
        <v>7.1208675555555558</v>
      </c>
      <c r="T180" s="14">
        <v>6.225308518518518</v>
      </c>
      <c r="U180" s="14">
        <v>6.0832986666666669</v>
      </c>
      <c r="V180" s="14">
        <v>6.5289068888888888</v>
      </c>
      <c r="W180" s="14">
        <v>6.978028518518518</v>
      </c>
      <c r="X180" s="14">
        <v>6.7728684444444447</v>
      </c>
      <c r="Y180" s="14">
        <v>7.0138651111111114</v>
      </c>
      <c r="Z180" s="14">
        <v>7.2401717037037034</v>
      </c>
      <c r="AA180" s="14">
        <v>7.4352125925925918</v>
      </c>
      <c r="AB180" s="14">
        <v>7.0903659259259264</v>
      </c>
      <c r="AC180" s="14">
        <v>6.6885354814814821</v>
      </c>
      <c r="AD180" s="14">
        <v>6.8430868148148152</v>
      </c>
      <c r="AE180">
        <v>7.1214432592592587</v>
      </c>
      <c r="AF180">
        <v>7.2908156296296296</v>
      </c>
      <c r="AG180">
        <v>0</v>
      </c>
    </row>
    <row r="181" spans="1:33" ht="33.75" customHeight="1" x14ac:dyDescent="0.2">
      <c r="A181" s="16"/>
      <c r="B181" s="17" t="s">
        <v>9</v>
      </c>
      <c r="C181" s="14">
        <v>4.0222222222222221</v>
      </c>
      <c r="D181" s="14">
        <v>3.9444444444444446</v>
      </c>
      <c r="E181" s="14">
        <v>4.1259259259259258</v>
      </c>
      <c r="F181" s="14">
        <v>4.4459259259259261</v>
      </c>
      <c r="G181" s="14">
        <v>4.159259259259259</v>
      </c>
      <c r="H181" s="14">
        <v>4.1622222222222218</v>
      </c>
      <c r="I181" s="14">
        <v>3.780740740740741</v>
      </c>
      <c r="J181" s="14">
        <v>3.5729629629629631</v>
      </c>
      <c r="K181" s="14">
        <v>3.7359259259259261</v>
      </c>
      <c r="L181" s="14">
        <v>3.5075555555555558</v>
      </c>
      <c r="M181" s="14">
        <v>3.4151851851851851</v>
      </c>
      <c r="N181" s="14">
        <v>4.0162962962962965</v>
      </c>
      <c r="O181" s="14">
        <v>3.8729629629629629</v>
      </c>
      <c r="P181" s="14">
        <v>3.9166666666666665</v>
      </c>
      <c r="Q181" s="14">
        <v>4.1685185185185185</v>
      </c>
      <c r="R181" s="14">
        <v>4.3574074074074076</v>
      </c>
      <c r="S181" s="14">
        <v>4.9242222222222223</v>
      </c>
      <c r="T181" s="14">
        <v>4.1688888888888886</v>
      </c>
      <c r="U181" s="14">
        <v>4.0901481481481481</v>
      </c>
      <c r="V181" s="14">
        <v>4.2945925925925925</v>
      </c>
      <c r="W181" s="14">
        <v>4.1334814814814811</v>
      </c>
      <c r="X181" s="14">
        <v>4.1542222222222218</v>
      </c>
      <c r="Y181" s="14">
        <v>4.3282962962962959</v>
      </c>
      <c r="Z181" s="14">
        <v>4.916074074074074</v>
      </c>
      <c r="AA181" s="14">
        <v>5.1071111111111112</v>
      </c>
      <c r="AB181" s="14">
        <v>4.6494074074074074</v>
      </c>
      <c r="AC181" s="14">
        <v>4.4457037037037033</v>
      </c>
      <c r="AD181" s="14">
        <v>4.7664444444444447</v>
      </c>
      <c r="AE181">
        <v>5.0275555555555558</v>
      </c>
      <c r="AF181">
        <v>5.2571851851851852</v>
      </c>
      <c r="AG181">
        <v>0</v>
      </c>
    </row>
    <row r="182" spans="1:33" ht="33.75" customHeight="1" x14ac:dyDescent="0.2"/>
    <row r="183" spans="1:33" ht="33.75" customHeight="1" x14ac:dyDescent="0.2">
      <c r="A183" s="6"/>
      <c r="B183" s="7">
        <v>46143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3" ht="33.75" customHeight="1" x14ac:dyDescent="0.2">
      <c r="A184" s="9"/>
      <c r="B184" s="9" t="s">
        <v>1</v>
      </c>
      <c r="C184" s="10">
        <v>46143</v>
      </c>
      <c r="D184" s="10">
        <v>46144</v>
      </c>
      <c r="E184" s="10">
        <v>46145</v>
      </c>
      <c r="F184" s="10">
        <v>46146</v>
      </c>
      <c r="G184" s="10">
        <v>46147</v>
      </c>
      <c r="H184" s="10">
        <v>46148</v>
      </c>
      <c r="I184" s="10">
        <v>46149</v>
      </c>
      <c r="J184" s="10">
        <v>46150</v>
      </c>
      <c r="K184" s="10">
        <v>46151</v>
      </c>
      <c r="L184" s="10">
        <v>46152</v>
      </c>
      <c r="M184" s="10">
        <v>46153</v>
      </c>
      <c r="N184" s="10">
        <v>46154</v>
      </c>
      <c r="O184" s="10">
        <v>46155</v>
      </c>
      <c r="P184" s="10">
        <v>46156</v>
      </c>
      <c r="Q184" s="10">
        <v>46157</v>
      </c>
      <c r="R184" s="10">
        <v>46158</v>
      </c>
      <c r="S184" s="10">
        <v>46159</v>
      </c>
      <c r="T184" s="10">
        <v>46160</v>
      </c>
      <c r="U184" s="10">
        <v>46161</v>
      </c>
      <c r="V184" s="10">
        <v>46162</v>
      </c>
      <c r="W184" s="10">
        <v>46163</v>
      </c>
      <c r="X184" s="10">
        <v>46164</v>
      </c>
      <c r="Y184" s="10">
        <v>46165</v>
      </c>
      <c r="Z184" s="10">
        <v>46166</v>
      </c>
      <c r="AA184" s="10">
        <v>46167</v>
      </c>
      <c r="AB184" s="10">
        <v>46168</v>
      </c>
      <c r="AC184" s="10">
        <v>46169</v>
      </c>
      <c r="AD184" s="10">
        <v>46170</v>
      </c>
      <c r="AE184" s="10">
        <v>46171</v>
      </c>
      <c r="AF184" s="10">
        <v>46172</v>
      </c>
      <c r="AG184" s="10">
        <v>46173</v>
      </c>
    </row>
    <row r="185" spans="1:33" ht="33.75" customHeight="1" x14ac:dyDescent="0.2">
      <c r="A185" s="12" t="s">
        <v>2</v>
      </c>
      <c r="B185" s="13" t="s">
        <v>8</v>
      </c>
      <c r="C185" s="14">
        <v>7.3695226666666667</v>
      </c>
      <c r="D185" s="14">
        <v>7.5711439259259254</v>
      </c>
      <c r="E185" s="14">
        <v>7.7885312592592593</v>
      </c>
      <c r="F185" s="14">
        <v>7.967982518518518</v>
      </c>
      <c r="G185" s="14">
        <v>8.1926753333333338</v>
      </c>
      <c r="H185" s="14">
        <v>7.9105919259259254</v>
      </c>
      <c r="I185" s="14">
        <v>8.4069948148148139</v>
      </c>
      <c r="J185" s="14">
        <v>9.5119315555555559</v>
      </c>
      <c r="K185" s="14">
        <v>9.4548775555555551</v>
      </c>
      <c r="L185" s="14">
        <v>9.5127568888888892</v>
      </c>
      <c r="M185" s="14">
        <v>9.3043582962962965</v>
      </c>
      <c r="N185" s="14">
        <v>9.8041871851851852</v>
      </c>
      <c r="O185" s="14">
        <v>10.181843851851852</v>
      </c>
      <c r="P185" s="14">
        <v>10.167876074074073</v>
      </c>
      <c r="Q185" s="14">
        <v>10.174006444444444</v>
      </c>
      <c r="R185" s="14">
        <v>10.670919259259259</v>
      </c>
      <c r="S185" s="14">
        <v>11.117583555555555</v>
      </c>
      <c r="T185" s="14">
        <v>10.958254518518517</v>
      </c>
      <c r="U185" s="14">
        <v>11.437148814814813</v>
      </c>
      <c r="V185" s="14">
        <v>11.289467481481481</v>
      </c>
      <c r="W185" s="14">
        <v>11.234303851851854</v>
      </c>
      <c r="X185" s="14">
        <v>11.070191407407407</v>
      </c>
      <c r="Y185" s="14">
        <v>10.871278962962963</v>
      </c>
      <c r="Z185" s="14">
        <v>10.106274592592593</v>
      </c>
      <c r="AA185" s="14">
        <v>9.3658988888888892</v>
      </c>
      <c r="AB185" s="14">
        <v>9.1661106666666665</v>
      </c>
      <c r="AC185" s="14">
        <v>8.4683633703703691</v>
      </c>
      <c r="AD185" s="14">
        <v>8.4889064111111114</v>
      </c>
      <c r="AE185">
        <v>7.784900114814814</v>
      </c>
      <c r="AF185">
        <v>7.6991739666666659</v>
      </c>
      <c r="AG185">
        <v>6.975411966666667</v>
      </c>
    </row>
    <row r="186" spans="1:33" ht="33.75" customHeight="1" x14ac:dyDescent="0.2">
      <c r="A186" s="16"/>
      <c r="B186" s="17" t="s">
        <v>9</v>
      </c>
      <c r="C186" s="14">
        <v>5.2757037037037033</v>
      </c>
      <c r="D186" s="14">
        <v>5.4259259259259256</v>
      </c>
      <c r="E186" s="14">
        <v>5.5016296296296296</v>
      </c>
      <c r="F186" s="14">
        <v>5.698296296296296</v>
      </c>
      <c r="G186" s="14">
        <v>5.9334814814814818</v>
      </c>
      <c r="H186" s="14">
        <v>6.1445925925925922</v>
      </c>
      <c r="I186" s="14">
        <v>6.5853333333333337</v>
      </c>
      <c r="J186" s="14">
        <v>6.9982962962962967</v>
      </c>
      <c r="K186" s="14">
        <v>7.0686666666666671</v>
      </c>
      <c r="L186" s="14">
        <v>8.1168148148148145</v>
      </c>
      <c r="M186" s="14">
        <v>7.5927407407407408</v>
      </c>
      <c r="N186" s="14">
        <v>7.6312592592592594</v>
      </c>
      <c r="O186" s="14">
        <v>7.8029629629629627</v>
      </c>
      <c r="P186" s="14">
        <v>7.7534814814814812</v>
      </c>
      <c r="Q186" s="14">
        <v>8.1201481481481483</v>
      </c>
      <c r="R186" s="14">
        <v>8.3423703703703698</v>
      </c>
      <c r="S186" s="14">
        <v>8.8571851851851857</v>
      </c>
      <c r="T186" s="14">
        <v>9.1386666666666674</v>
      </c>
      <c r="U186" s="14">
        <v>9.5608888888888881</v>
      </c>
      <c r="V186" s="14">
        <v>9.8312592592592587</v>
      </c>
      <c r="W186" s="14">
        <v>9.5312592592592598</v>
      </c>
      <c r="X186" s="14">
        <v>9.1682962962962957</v>
      </c>
      <c r="Y186" s="14">
        <v>8.8534814814814808</v>
      </c>
      <c r="Z186" s="14">
        <v>8.4757037037037044</v>
      </c>
      <c r="AA186" s="14">
        <v>7.9275555555555552</v>
      </c>
      <c r="AB186" s="14">
        <v>7.7127407407407409</v>
      </c>
      <c r="AC186" s="14">
        <v>7.4942222222222226</v>
      </c>
      <c r="AD186" s="14">
        <v>7.0460740740740739</v>
      </c>
      <c r="AE186">
        <v>6.7053333333333329</v>
      </c>
      <c r="AF186">
        <v>6.2645925925925923</v>
      </c>
      <c r="AG186">
        <v>6.060888888888889</v>
      </c>
    </row>
    <row r="187" spans="1:33" ht="33.75" customHeight="1" x14ac:dyDescent="0.2"/>
    <row r="188" spans="1:33" ht="33.75" customHeight="1" x14ac:dyDescent="0.2">
      <c r="A188" s="6"/>
      <c r="B188" s="7">
        <v>46174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3" ht="33.75" customHeight="1" x14ac:dyDescent="0.2">
      <c r="A189" s="9"/>
      <c r="B189" s="9" t="s">
        <v>1</v>
      </c>
      <c r="C189" s="10">
        <v>46174</v>
      </c>
      <c r="D189" s="10">
        <v>46175</v>
      </c>
      <c r="E189" s="10">
        <v>46176</v>
      </c>
      <c r="F189" s="10">
        <v>46177</v>
      </c>
      <c r="G189" s="10">
        <v>46178</v>
      </c>
      <c r="H189" s="10">
        <v>46179</v>
      </c>
      <c r="I189" s="10">
        <v>46180</v>
      </c>
      <c r="J189" s="10">
        <v>46181</v>
      </c>
      <c r="K189" s="10">
        <v>46182</v>
      </c>
      <c r="L189" s="10">
        <v>46183</v>
      </c>
      <c r="M189" s="10">
        <v>46184</v>
      </c>
      <c r="N189" s="10">
        <v>46185</v>
      </c>
      <c r="O189" s="10">
        <v>46186</v>
      </c>
      <c r="P189" s="10">
        <v>46187</v>
      </c>
      <c r="Q189" s="10">
        <v>46188</v>
      </c>
      <c r="R189" s="10">
        <v>46189</v>
      </c>
      <c r="S189" s="10">
        <v>46190</v>
      </c>
      <c r="T189" s="10">
        <v>46191</v>
      </c>
      <c r="U189" s="10">
        <v>46192</v>
      </c>
      <c r="V189" s="10">
        <v>46193</v>
      </c>
      <c r="W189" s="10">
        <v>46194</v>
      </c>
      <c r="X189" s="10">
        <v>46195</v>
      </c>
      <c r="Y189" s="10">
        <v>46196</v>
      </c>
      <c r="Z189" s="10">
        <v>46197</v>
      </c>
      <c r="AA189" s="10">
        <v>46198</v>
      </c>
      <c r="AB189" s="10">
        <v>46199</v>
      </c>
      <c r="AC189" s="10">
        <v>46200</v>
      </c>
      <c r="AD189" s="10">
        <v>46201</v>
      </c>
      <c r="AE189" s="10">
        <v>46202</v>
      </c>
    </row>
    <row r="190" spans="1:33" ht="33.75" customHeight="1" x14ac:dyDescent="0.2">
      <c r="A190" s="12" t="s">
        <v>2</v>
      </c>
      <c r="B190" s="13" t="s">
        <v>8</v>
      </c>
      <c r="C190" s="14">
        <v>7.0355725185185189</v>
      </c>
      <c r="D190" s="14">
        <v>6.9187719259259257</v>
      </c>
      <c r="E190" s="14">
        <v>6.2602931111111104</v>
      </c>
      <c r="F190" s="14">
        <v>6.1070554074074082</v>
      </c>
      <c r="G190" s="14">
        <v>5.3370625925925923</v>
      </c>
      <c r="H190" s="14">
        <v>4.9036407407407401</v>
      </c>
      <c r="I190" s="14">
        <v>4.5490211111111112</v>
      </c>
      <c r="J190" s="14">
        <v>4.5104922962962961</v>
      </c>
      <c r="K190" s="14">
        <v>4.5029840740740745</v>
      </c>
      <c r="L190" s="14">
        <v>4.3739743703703704</v>
      </c>
      <c r="M190" s="14">
        <v>4.8636091111111108</v>
      </c>
      <c r="N190" s="14">
        <v>0</v>
      </c>
      <c r="O190" s="14">
        <v>0</v>
      </c>
      <c r="P190" s="14">
        <v>5.4051077037037034</v>
      </c>
      <c r="Q190" s="14">
        <v>3.7882962962962963</v>
      </c>
      <c r="R190" s="14">
        <v>0</v>
      </c>
      <c r="S190" s="14">
        <v>5.2928641481481478</v>
      </c>
      <c r="T190" s="14">
        <v>5.5026485185185186</v>
      </c>
      <c r="U190" s="14">
        <v>0</v>
      </c>
      <c r="V190" s="14">
        <v>0</v>
      </c>
      <c r="W190" s="14">
        <v>4.5081696296296299</v>
      </c>
      <c r="X190" s="14">
        <v>4.1473026666666666</v>
      </c>
      <c r="Y190" s="14">
        <v>4.5068897777777783</v>
      </c>
      <c r="Z190" s="14">
        <v>0</v>
      </c>
      <c r="AA190" s="14">
        <v>0</v>
      </c>
      <c r="AB190" s="14">
        <v>0</v>
      </c>
      <c r="AC190" s="14">
        <v>0</v>
      </c>
      <c r="AD190" s="14">
        <v>3.1797822962962963</v>
      </c>
      <c r="AE190">
        <v>2.8994731111111114</v>
      </c>
    </row>
    <row r="191" spans="1:33" ht="33.75" customHeight="1" x14ac:dyDescent="0.2">
      <c r="A191" s="16"/>
      <c r="B191" s="17" t="s">
        <v>9</v>
      </c>
      <c r="C191" s="14">
        <v>5.7979259259259255</v>
      </c>
      <c r="D191" s="14">
        <v>4.6034814814814817</v>
      </c>
      <c r="E191" s="14">
        <v>3.8220000000000001</v>
      </c>
      <c r="F191" s="14">
        <v>3.484962962962963</v>
      </c>
      <c r="G191" s="14">
        <v>3.1760740740740743</v>
      </c>
      <c r="H191" s="14">
        <v>2.9645925925925924</v>
      </c>
      <c r="I191" s="14">
        <v>2.7475555555555555</v>
      </c>
      <c r="J191" s="14">
        <v>2.6253333333333333</v>
      </c>
      <c r="K191" s="14">
        <v>2.8327407407407406</v>
      </c>
      <c r="L191" s="14">
        <v>2.9771851851851854</v>
      </c>
      <c r="M191" s="14">
        <v>3.3957037037037039</v>
      </c>
      <c r="N191" s="14">
        <v>0</v>
      </c>
      <c r="O191" s="14">
        <v>0</v>
      </c>
      <c r="P191" s="14">
        <v>3.3882962962962964</v>
      </c>
      <c r="Q191" s="14">
        <v>0</v>
      </c>
      <c r="R191" s="14">
        <v>0</v>
      </c>
      <c r="S191" s="14">
        <v>4.0401481481481483</v>
      </c>
      <c r="T191" s="14">
        <v>3.6142222222222222</v>
      </c>
      <c r="U191" s="14">
        <v>2.9660740740740739</v>
      </c>
      <c r="V191" s="14">
        <v>0</v>
      </c>
      <c r="W191" s="14">
        <v>3.2031111111111112</v>
      </c>
      <c r="X191" s="14">
        <v>3.0549629629629629</v>
      </c>
      <c r="Y191" s="14">
        <v>2.9697777777777778</v>
      </c>
      <c r="Z191" s="14">
        <v>0</v>
      </c>
      <c r="AA191" s="14">
        <v>0</v>
      </c>
      <c r="AB191" s="14">
        <v>0</v>
      </c>
      <c r="AC191" s="14">
        <v>0</v>
      </c>
      <c r="AD191" s="14">
        <v>2.049185185185185</v>
      </c>
      <c r="AE191">
        <v>1.5788148148148149</v>
      </c>
    </row>
    <row r="192" spans="1:33" ht="33.75" customHeight="1" x14ac:dyDescent="0.2"/>
    <row r="193" spans="1:33" ht="33.75" customHeight="1" x14ac:dyDescent="0.2">
      <c r="A193" s="6"/>
      <c r="B193" s="7">
        <v>46204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3" ht="33.75" customHeight="1" x14ac:dyDescent="0.2">
      <c r="A194" s="9"/>
      <c r="B194" s="9" t="s">
        <v>1</v>
      </c>
      <c r="C194" s="10">
        <v>46204</v>
      </c>
      <c r="D194" s="10">
        <v>46205</v>
      </c>
      <c r="E194" s="10">
        <v>46206</v>
      </c>
      <c r="F194" s="10">
        <v>46207</v>
      </c>
      <c r="G194" s="10">
        <v>46208</v>
      </c>
      <c r="H194" s="10">
        <v>46209</v>
      </c>
      <c r="I194" s="10">
        <v>46210</v>
      </c>
      <c r="J194" s="10">
        <v>46211</v>
      </c>
      <c r="K194" s="10">
        <v>46212</v>
      </c>
      <c r="L194" s="10">
        <v>46213</v>
      </c>
      <c r="M194" s="10">
        <v>46214</v>
      </c>
      <c r="N194" s="10">
        <v>46215</v>
      </c>
      <c r="O194" s="10">
        <v>46216</v>
      </c>
      <c r="P194" s="10">
        <v>46217</v>
      </c>
      <c r="Q194" s="10">
        <v>46218</v>
      </c>
      <c r="R194" s="10">
        <v>46219</v>
      </c>
      <c r="S194" s="10">
        <v>46220</v>
      </c>
      <c r="T194" s="10">
        <v>46221</v>
      </c>
      <c r="U194" s="10">
        <v>46222</v>
      </c>
      <c r="V194" s="10">
        <v>46223</v>
      </c>
      <c r="W194" s="10">
        <v>46224</v>
      </c>
      <c r="X194" s="10">
        <v>46225</v>
      </c>
      <c r="Y194" s="10">
        <v>46226</v>
      </c>
      <c r="Z194" s="10">
        <v>46227</v>
      </c>
      <c r="AA194" s="10">
        <v>46228</v>
      </c>
      <c r="AB194" s="10">
        <v>46229</v>
      </c>
      <c r="AC194" s="10">
        <v>46230</v>
      </c>
      <c r="AD194" s="10">
        <v>46231</v>
      </c>
      <c r="AE194" s="10">
        <v>46232</v>
      </c>
      <c r="AF194" s="10">
        <v>46233</v>
      </c>
      <c r="AG194" s="10">
        <v>46234</v>
      </c>
    </row>
    <row r="195" spans="1:33" ht="33.75" customHeight="1" x14ac:dyDescent="0.2">
      <c r="A195" s="12" t="s">
        <v>2</v>
      </c>
      <c r="B195" s="13" t="s">
        <v>8</v>
      </c>
      <c r="C195" s="14">
        <v>2.561851851851852</v>
      </c>
      <c r="D195" s="14">
        <v>2.4201650370370369</v>
      </c>
      <c r="E195" s="14">
        <v>3.6483187407407409</v>
      </c>
      <c r="F195" s="14">
        <v>4.0838730370370371</v>
      </c>
      <c r="G195" s="14">
        <v>4.6905597777777777</v>
      </c>
      <c r="H195" s="14">
        <v>5.1446165185185189</v>
      </c>
      <c r="I195" s="14">
        <v>5.6482018518518524</v>
      </c>
      <c r="J195" s="14">
        <v>5.966604740740741</v>
      </c>
      <c r="K195" s="14">
        <v>5.5940553333333334</v>
      </c>
      <c r="L195" s="14">
        <v>5.9090586666666667</v>
      </c>
      <c r="M195" s="14">
        <v>6.3947381481481482</v>
      </c>
      <c r="N195" s="14">
        <v>7.374982518518518</v>
      </c>
      <c r="O195" s="14">
        <v>7.0454941481481486</v>
      </c>
      <c r="P195" s="14">
        <v>7.466604888888889</v>
      </c>
      <c r="Q195" s="14">
        <v>7.8118437037037038</v>
      </c>
      <c r="R195" s="14">
        <v>8.2666532592592592</v>
      </c>
      <c r="S195" s="14">
        <v>7.8371326666666663</v>
      </c>
      <c r="T195" s="14">
        <v>9.1952248148148144</v>
      </c>
      <c r="U195" s="14">
        <v>9.6182388888888894</v>
      </c>
      <c r="V195" s="14">
        <v>9.840416592592593</v>
      </c>
      <c r="W195" s="14">
        <v>10.298805333333334</v>
      </c>
      <c r="X195" s="14">
        <v>10.700067777777779</v>
      </c>
      <c r="Y195" s="14">
        <v>10.969840074074073</v>
      </c>
      <c r="Z195" s="14">
        <v>11.410440518518518</v>
      </c>
      <c r="AA195" s="14">
        <v>11.712826296296296</v>
      </c>
      <c r="AB195" s="14">
        <v>12.075429999999999</v>
      </c>
      <c r="AC195" s="14">
        <v>12.459508148148148</v>
      </c>
      <c r="AD195" s="14">
        <v>12.042654148148149</v>
      </c>
      <c r="AE195">
        <v>13.534045037037037</v>
      </c>
      <c r="AF195">
        <v>13.931863481481482</v>
      </c>
      <c r="AG195">
        <v>14.369933185185186</v>
      </c>
    </row>
    <row r="196" spans="1:33" ht="33.75" customHeight="1" x14ac:dyDescent="0.2">
      <c r="A196" s="16"/>
      <c r="B196" s="17" t="s">
        <v>9</v>
      </c>
      <c r="C196" s="14">
        <v>2.5364444444444443</v>
      </c>
      <c r="D196" s="14">
        <v>2.3154074074074074</v>
      </c>
      <c r="E196" s="14">
        <v>3.1374814814814815</v>
      </c>
      <c r="F196" s="14">
        <v>3.4651851851851854</v>
      </c>
      <c r="G196" s="14">
        <v>3.7545925925925925</v>
      </c>
      <c r="H196" s="14">
        <v>4.0490370370370368</v>
      </c>
      <c r="I196" s="14">
        <v>4.5305185185185186</v>
      </c>
      <c r="J196" s="14">
        <v>4.4629629629629628</v>
      </c>
      <c r="K196" s="14">
        <v>4.3205185185185186</v>
      </c>
      <c r="L196" s="14">
        <v>4.5705185185185186</v>
      </c>
      <c r="M196" s="14">
        <v>4.8520000000000003</v>
      </c>
      <c r="N196" s="14">
        <v>5.7585185185185184</v>
      </c>
      <c r="O196" s="14">
        <v>6.1066666666666665</v>
      </c>
      <c r="P196" s="14">
        <v>6.64</v>
      </c>
      <c r="Q196" s="14">
        <v>6.9214814814814813</v>
      </c>
      <c r="R196" s="14">
        <v>7.2844444444444445</v>
      </c>
      <c r="S196" s="14">
        <v>7.4325925925925924</v>
      </c>
      <c r="T196" s="14">
        <v>7.9251851851851853</v>
      </c>
      <c r="U196" s="14">
        <v>8.4992592592592597</v>
      </c>
      <c r="V196" s="14">
        <v>8.7622222222222224</v>
      </c>
      <c r="W196" s="14">
        <v>8.9511111111111106</v>
      </c>
      <c r="X196" s="14">
        <v>9.354814814814814</v>
      </c>
      <c r="Y196" s="14">
        <v>9.7214814814814812</v>
      </c>
      <c r="Z196" s="14">
        <v>9.9066666666666663</v>
      </c>
      <c r="AA196" s="14">
        <v>10.428814814814816</v>
      </c>
      <c r="AB196" s="14">
        <v>10.76962962962963</v>
      </c>
      <c r="AC196" s="14">
        <v>11.217777777777778</v>
      </c>
      <c r="AD196" s="14">
        <v>11.447407407407407</v>
      </c>
      <c r="AE196">
        <v>12.243703703703703</v>
      </c>
      <c r="AF196">
        <v>12.836296296296297</v>
      </c>
      <c r="AG196">
        <v>13.099259259259259</v>
      </c>
    </row>
    <row r="197" spans="1:33" ht="33.75" customHeight="1" x14ac:dyDescent="0.2"/>
    <row r="198" spans="1:33" ht="33.75" customHeight="1" x14ac:dyDescent="0.2">
      <c r="A198" s="6"/>
      <c r="B198" s="7">
        <v>46235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3" ht="33.75" customHeight="1" x14ac:dyDescent="0.2">
      <c r="A199" s="9"/>
      <c r="B199" s="9" t="s">
        <v>1</v>
      </c>
      <c r="C199" s="10">
        <v>46235</v>
      </c>
      <c r="D199" s="10">
        <v>46236</v>
      </c>
      <c r="E199" s="10">
        <v>46237</v>
      </c>
      <c r="F199" s="10">
        <v>46238</v>
      </c>
      <c r="G199" s="10">
        <v>46239</v>
      </c>
      <c r="H199" s="10">
        <v>46240</v>
      </c>
      <c r="I199" s="10">
        <v>46241</v>
      </c>
      <c r="J199" s="10">
        <v>46242</v>
      </c>
      <c r="K199" s="10">
        <v>46243</v>
      </c>
      <c r="L199" s="10">
        <v>46244</v>
      </c>
      <c r="M199" s="10">
        <v>46245</v>
      </c>
      <c r="N199" s="10">
        <v>46246</v>
      </c>
      <c r="O199" s="10">
        <v>46247</v>
      </c>
      <c r="P199" s="10">
        <v>46248</v>
      </c>
      <c r="Q199" s="10">
        <v>46249</v>
      </c>
      <c r="R199" s="10">
        <v>46250</v>
      </c>
      <c r="S199" s="10">
        <v>46251</v>
      </c>
      <c r="T199" s="10">
        <v>46252</v>
      </c>
      <c r="U199" s="10">
        <v>46253</v>
      </c>
      <c r="V199" s="10">
        <v>46254</v>
      </c>
      <c r="W199" s="10">
        <v>46255</v>
      </c>
      <c r="X199" s="10">
        <v>46256</v>
      </c>
      <c r="Y199" s="10">
        <v>46257</v>
      </c>
      <c r="Z199" s="10">
        <v>46258</v>
      </c>
      <c r="AA199" s="10">
        <v>46259</v>
      </c>
      <c r="AB199" s="10">
        <v>46260</v>
      </c>
      <c r="AC199" s="10">
        <v>46261</v>
      </c>
      <c r="AD199" s="10">
        <v>46262</v>
      </c>
      <c r="AE199" s="10">
        <v>46263</v>
      </c>
      <c r="AF199" s="10">
        <v>46264</v>
      </c>
      <c r="AG199" s="10">
        <v>46265</v>
      </c>
    </row>
    <row r="200" spans="1:33" ht="33.75" customHeight="1" x14ac:dyDescent="0.2">
      <c r="A200" s="12" t="s">
        <v>2</v>
      </c>
      <c r="B200" s="13" t="s">
        <v>8</v>
      </c>
      <c r="C200" s="14">
        <v>14.351738888888889</v>
      </c>
      <c r="D200" s="14">
        <v>14.727514296296297</v>
      </c>
      <c r="E200" s="14">
        <v>15.260818296296296</v>
      </c>
      <c r="F200" s="14">
        <v>16.406748296296296</v>
      </c>
      <c r="G200" s="14">
        <v>16.911247407407409</v>
      </c>
      <c r="H200" s="14">
        <v>17.382932592592592</v>
      </c>
      <c r="I200" s="14">
        <v>17.369228518518518</v>
      </c>
      <c r="J200" s="14">
        <v>17.604134222222221</v>
      </c>
      <c r="K200" s="14">
        <v>17.544799999999999</v>
      </c>
      <c r="L200" s="14">
        <v>18.360140740740739</v>
      </c>
      <c r="M200" s="14">
        <v>19.050182888888891</v>
      </c>
      <c r="N200" s="14">
        <v>19.686868148148147</v>
      </c>
      <c r="O200" s="14">
        <v>19.584651851851852</v>
      </c>
      <c r="P200" s="14">
        <v>19.652518518518519</v>
      </c>
      <c r="Q200" s="14">
        <v>19.669111111111111</v>
      </c>
      <c r="R200" s="14">
        <v>20.279777777777777</v>
      </c>
      <c r="S200" s="14">
        <v>20.365851851851851</v>
      </c>
      <c r="T200" s="14">
        <v>20.2</v>
      </c>
      <c r="U200" s="14">
        <v>20.730666666666668</v>
      </c>
      <c r="V200" s="14">
        <v>20.609259259259261</v>
      </c>
      <c r="W200" s="14">
        <v>20.548074074074073</v>
      </c>
      <c r="X200" s="14">
        <v>20.440296296296296</v>
      </c>
      <c r="Y200" s="14">
        <v>20.92074074074074</v>
      </c>
      <c r="Z200" s="14">
        <v>20.812148148148147</v>
      </c>
      <c r="AA200" s="14">
        <v>20.657555555555554</v>
      </c>
      <c r="AB200" s="14">
        <v>20.735703703703702</v>
      </c>
      <c r="AC200" s="14">
        <v>21.564296296296295</v>
      </c>
      <c r="AD200" s="14">
        <v>22.312814814814814</v>
      </c>
      <c r="AE200">
        <v>21.576222222222221</v>
      </c>
      <c r="AF200">
        <v>22.921925925925926</v>
      </c>
      <c r="AG200">
        <v>23.308148148148149</v>
      </c>
    </row>
    <row r="201" spans="1:33" ht="33.75" customHeight="1" x14ac:dyDescent="0.2">
      <c r="A201" s="16"/>
      <c r="B201" s="17" t="s">
        <v>9</v>
      </c>
      <c r="C201" s="14">
        <v>13.095555555555556</v>
      </c>
      <c r="D201" s="14">
        <v>13.722222222222221</v>
      </c>
      <c r="E201" s="14">
        <v>14.218518518518518</v>
      </c>
      <c r="F201" s="14">
        <v>15.048148148148147</v>
      </c>
      <c r="G201" s="14">
        <v>15.562962962962963</v>
      </c>
      <c r="H201" s="14">
        <v>16.033333333333335</v>
      </c>
      <c r="I201" s="14">
        <v>16.05185185185185</v>
      </c>
      <c r="J201" s="14">
        <v>16.31851851851852</v>
      </c>
      <c r="K201" s="14">
        <v>16.544444444444444</v>
      </c>
      <c r="L201" s="14">
        <v>17.077777777777779</v>
      </c>
      <c r="M201" s="14">
        <v>17.444444444444443</v>
      </c>
      <c r="N201" s="14">
        <v>17.81111111111111</v>
      </c>
      <c r="O201" s="14">
        <v>17.655555555555555</v>
      </c>
      <c r="P201" s="14">
        <v>17.588888888888889</v>
      </c>
      <c r="Q201" s="14">
        <v>18.137037037037036</v>
      </c>
      <c r="R201" s="14">
        <v>18.262962962962963</v>
      </c>
      <c r="S201" s="14">
        <v>18.822222222222223</v>
      </c>
      <c r="T201" s="14">
        <v>18.755555555555556</v>
      </c>
      <c r="U201" s="14">
        <v>18.903703703703705</v>
      </c>
      <c r="V201" s="14">
        <v>19.05925925925926</v>
      </c>
      <c r="W201" s="14">
        <v>18.988888888888887</v>
      </c>
      <c r="X201" s="14">
        <v>18.848148148148148</v>
      </c>
      <c r="Y201" s="14">
        <v>19.114814814814814</v>
      </c>
      <c r="Z201" s="14">
        <v>18.881481481481483</v>
      </c>
      <c r="AA201" s="14">
        <v>19.074074074074073</v>
      </c>
      <c r="AB201" s="14">
        <v>19.355555555555554</v>
      </c>
      <c r="AC201" s="14">
        <v>20.118518518518517</v>
      </c>
      <c r="AD201" s="14">
        <v>20.492888888888888</v>
      </c>
      <c r="AE201">
        <v>20.618148148148148</v>
      </c>
      <c r="AF201">
        <v>20.822222222222223</v>
      </c>
      <c r="AG201">
        <v>21.2</v>
      </c>
    </row>
    <row r="202" spans="1:33" ht="33.75" customHeight="1" x14ac:dyDescent="0.2"/>
    <row r="203" spans="1:33" ht="33.75" customHeight="1" x14ac:dyDescent="0.2"/>
    <row r="204" spans="1:33" ht="33.75" customHeight="1" x14ac:dyDescent="0.2"/>
    <row r="205" spans="1:33" ht="33.75" customHeight="1" x14ac:dyDescent="0.2"/>
    <row r="206" spans="1:33" ht="33.75" customHeight="1" x14ac:dyDescent="0.2"/>
    <row r="207" spans="1:33" ht="33.75" customHeight="1" x14ac:dyDescent="0.2"/>
    <row r="208" spans="1:33" ht="33.75" customHeight="1" x14ac:dyDescent="0.2"/>
    <row r="209" ht="33.75" customHeight="1" x14ac:dyDescent="0.2"/>
    <row r="210" ht="33.75" customHeight="1" x14ac:dyDescent="0.2"/>
    <row r="211" ht="33.75" customHeight="1" x14ac:dyDescent="0.2"/>
    <row r="212" ht="33.75" customHeight="1" x14ac:dyDescent="0.2"/>
    <row r="213" ht="33.75" customHeight="1" x14ac:dyDescent="0.2"/>
    <row r="214" ht="33.75" customHeight="1" x14ac:dyDescent="0.2"/>
    <row r="215" ht="33.75" customHeight="1" x14ac:dyDescent="0.2"/>
    <row r="216" ht="33.75" customHeight="1" x14ac:dyDescent="0.2"/>
    <row r="217" ht="33.75" customHeight="1" x14ac:dyDescent="0.2"/>
    <row r="218" ht="33.75" customHeight="1" x14ac:dyDescent="0.2"/>
    <row r="219" ht="33.75" customHeight="1" x14ac:dyDescent="0.2"/>
    <row r="220" ht="33.75" customHeight="1" x14ac:dyDescent="0.2"/>
    <row r="221" ht="33.75" customHeight="1" x14ac:dyDescent="0.2"/>
    <row r="222" ht="33.75" customHeight="1" x14ac:dyDescent="0.2"/>
    <row r="223" ht="33.75" customHeight="1" x14ac:dyDescent="0.2"/>
    <row r="224" ht="33.75" customHeight="1" x14ac:dyDescent="0.2"/>
    <row r="225" ht="33.75" customHeight="1" x14ac:dyDescent="0.2"/>
    <row r="226" ht="33.75" customHeight="1" x14ac:dyDescent="0.2"/>
    <row r="227" ht="33.75" customHeight="1" x14ac:dyDescent="0.2"/>
    <row r="228" ht="33.75" customHeight="1" x14ac:dyDescent="0.2"/>
    <row r="229" ht="33.75" customHeight="1" x14ac:dyDescent="0.2"/>
    <row r="230" ht="33.75" customHeight="1" x14ac:dyDescent="0.2"/>
    <row r="231" ht="33.75" customHeight="1" x14ac:dyDescent="0.2"/>
    <row r="232" ht="33.75" customHeight="1" x14ac:dyDescent="0.2"/>
    <row r="233" ht="33.75" customHeight="1" x14ac:dyDescent="0.2"/>
    <row r="234" ht="33.75" customHeight="1" x14ac:dyDescent="0.2"/>
    <row r="235" ht="33.75" customHeight="1" x14ac:dyDescent="0.2"/>
    <row r="236" ht="33.75" customHeight="1" x14ac:dyDescent="0.2"/>
    <row r="237" ht="33.75" customHeight="1" x14ac:dyDescent="0.2"/>
    <row r="238" ht="33.75" customHeight="1" x14ac:dyDescent="0.2"/>
    <row r="239" ht="33.75" customHeight="1" x14ac:dyDescent="0.2"/>
    <row r="240" ht="33.75" customHeight="1" x14ac:dyDescent="0.2"/>
    <row r="241" ht="33.75" customHeight="1" x14ac:dyDescent="0.2"/>
    <row r="242" ht="33.75" customHeight="1" x14ac:dyDescent="0.2"/>
    <row r="243" ht="33.75" customHeight="1" x14ac:dyDescent="0.2"/>
    <row r="244" ht="33.75" customHeight="1" x14ac:dyDescent="0.2"/>
    <row r="245" ht="33.75" customHeight="1" x14ac:dyDescent="0.2"/>
    <row r="246" ht="33.75" customHeight="1" x14ac:dyDescent="0.2"/>
    <row r="247" ht="33.75" customHeight="1" x14ac:dyDescent="0.2"/>
    <row r="248" ht="33.75" customHeight="1" x14ac:dyDescent="0.2"/>
    <row r="249" ht="33.75" customHeight="1" x14ac:dyDescent="0.2"/>
    <row r="250" ht="33.75" customHeight="1" x14ac:dyDescent="0.2"/>
    <row r="251" ht="33.75" customHeight="1" x14ac:dyDescent="0.2"/>
    <row r="252" ht="33.75" customHeight="1" x14ac:dyDescent="0.2"/>
    <row r="253" ht="33.75" customHeight="1" x14ac:dyDescent="0.2"/>
    <row r="254" ht="33.75" customHeight="1" x14ac:dyDescent="0.2"/>
    <row r="255" ht="33.75" customHeight="1" x14ac:dyDescent="0.2"/>
    <row r="256" ht="33.75" customHeight="1" x14ac:dyDescent="0.2"/>
    <row r="257" ht="33.75" customHeight="1" x14ac:dyDescent="0.2"/>
    <row r="258" ht="33.75" customHeight="1" x14ac:dyDescent="0.2"/>
    <row r="259" ht="33.75" customHeight="1" x14ac:dyDescent="0.2"/>
    <row r="260" ht="33.75" customHeight="1" x14ac:dyDescent="0.2"/>
    <row r="261" ht="33.75" customHeight="1" x14ac:dyDescent="0.2"/>
    <row r="262" ht="33.75" customHeight="1" x14ac:dyDescent="0.2"/>
    <row r="263" ht="33.75" customHeight="1" x14ac:dyDescent="0.2"/>
    <row r="264" ht="33.75" customHeight="1" x14ac:dyDescent="0.2"/>
    <row r="265" ht="33.75" customHeight="1" x14ac:dyDescent="0.2"/>
    <row r="266" ht="33.75" customHeight="1" x14ac:dyDescent="0.2"/>
    <row r="267" ht="33.75" customHeight="1" x14ac:dyDescent="0.2"/>
    <row r="268" ht="33.75" customHeight="1" x14ac:dyDescent="0.2"/>
    <row r="269" ht="33.75" customHeight="1" x14ac:dyDescent="0.2"/>
    <row r="270" ht="33.75" customHeight="1" x14ac:dyDescent="0.2"/>
    <row r="271" ht="33.75" customHeight="1" x14ac:dyDescent="0.2"/>
    <row r="272" ht="33.75" customHeight="1" x14ac:dyDescent="0.2"/>
    <row r="273" ht="33.75" customHeight="1" x14ac:dyDescent="0.2"/>
    <row r="274" ht="33.75" customHeight="1" x14ac:dyDescent="0.2"/>
    <row r="275" ht="33.75" customHeight="1" x14ac:dyDescent="0.2"/>
    <row r="276" ht="33.75" customHeight="1" x14ac:dyDescent="0.2"/>
    <row r="277" ht="33.75" customHeight="1" x14ac:dyDescent="0.2"/>
    <row r="278" ht="33.75" customHeight="1" x14ac:dyDescent="0.2"/>
    <row r="279" ht="33.75" customHeight="1" x14ac:dyDescent="0.2"/>
    <row r="280" ht="33.75" customHeight="1" x14ac:dyDescent="0.2"/>
    <row r="281" ht="33.75" customHeight="1" x14ac:dyDescent="0.2"/>
    <row r="282" ht="33.75" customHeight="1" x14ac:dyDescent="0.2"/>
    <row r="283" ht="33.75" customHeight="1" x14ac:dyDescent="0.2"/>
    <row r="284" ht="33.75" customHeight="1" x14ac:dyDescent="0.2"/>
    <row r="285" ht="33.75" customHeight="1" x14ac:dyDescent="0.2"/>
    <row r="286" ht="33.75" customHeight="1" x14ac:dyDescent="0.2"/>
    <row r="287" ht="33.75" customHeight="1" x14ac:dyDescent="0.2"/>
    <row r="288" ht="33.75" customHeight="1" x14ac:dyDescent="0.2"/>
    <row r="289" ht="33.75" customHeight="1" x14ac:dyDescent="0.2"/>
    <row r="290" ht="33.75" customHeight="1" x14ac:dyDescent="0.2"/>
    <row r="291" ht="33.75" customHeight="1" x14ac:dyDescent="0.2"/>
    <row r="292" ht="33.75" customHeight="1" x14ac:dyDescent="0.2"/>
    <row r="293" ht="33.75" customHeight="1" x14ac:dyDescent="0.2"/>
    <row r="294" ht="33.75" customHeight="1" x14ac:dyDescent="0.2"/>
    <row r="295" ht="33.75" customHeight="1" x14ac:dyDescent="0.2"/>
    <row r="296" ht="33.75" customHeight="1" x14ac:dyDescent="0.2"/>
    <row r="297" ht="33.75" customHeight="1" x14ac:dyDescent="0.2"/>
    <row r="298" ht="33.75" customHeight="1" x14ac:dyDescent="0.2"/>
    <row r="299" ht="33.75" customHeight="1" x14ac:dyDescent="0.2"/>
    <row r="300" ht="33.75" customHeight="1" x14ac:dyDescent="0.2"/>
    <row r="301" ht="33.75" customHeight="1" x14ac:dyDescent="0.2"/>
    <row r="302" ht="33.75" customHeight="1" x14ac:dyDescent="0.2"/>
    <row r="303" ht="33.75" customHeight="1" x14ac:dyDescent="0.2"/>
    <row r="304" ht="33.75" customHeight="1" x14ac:dyDescent="0.2"/>
    <row r="305" ht="33.75" customHeight="1" x14ac:dyDescent="0.2"/>
    <row r="306" ht="33.75" customHeight="1" x14ac:dyDescent="0.2"/>
    <row r="307" ht="33.75" customHeight="1" x14ac:dyDescent="0.2"/>
    <row r="308" ht="33.75" customHeight="1" x14ac:dyDescent="0.2"/>
    <row r="309" ht="33.75" customHeight="1" x14ac:dyDescent="0.2"/>
    <row r="310" ht="33.75" customHeight="1" x14ac:dyDescent="0.2"/>
    <row r="311" ht="33.75" customHeight="1" x14ac:dyDescent="0.2"/>
    <row r="312" ht="33.75" customHeight="1" x14ac:dyDescent="0.2"/>
    <row r="313" ht="33.75" customHeight="1" x14ac:dyDescent="0.2"/>
    <row r="314" ht="33.75" customHeight="1" x14ac:dyDescent="0.2"/>
    <row r="315" ht="33.75" customHeight="1" x14ac:dyDescent="0.2"/>
    <row r="316" ht="33.75" customHeight="1" x14ac:dyDescent="0.2"/>
    <row r="317" ht="33.75" customHeight="1" x14ac:dyDescent="0.2"/>
    <row r="318" ht="33.75" customHeight="1" x14ac:dyDescent="0.2"/>
    <row r="319" ht="33.75" customHeight="1" x14ac:dyDescent="0.2"/>
    <row r="320" ht="33.75" customHeight="1" x14ac:dyDescent="0.2"/>
    <row r="321" ht="33.75" customHeight="1" x14ac:dyDescent="0.2"/>
    <row r="322" ht="33.75" customHeight="1" x14ac:dyDescent="0.2"/>
    <row r="323" ht="33.75" customHeight="1" x14ac:dyDescent="0.2"/>
    <row r="324" ht="33.75" customHeight="1" x14ac:dyDescent="0.2"/>
    <row r="325" ht="33.75" customHeight="1" x14ac:dyDescent="0.2"/>
    <row r="326" ht="33.75" customHeight="1" x14ac:dyDescent="0.2"/>
    <row r="327" ht="33.75" customHeight="1" x14ac:dyDescent="0.2"/>
    <row r="328" ht="33.75" customHeight="1" x14ac:dyDescent="0.2"/>
    <row r="329" ht="33.75" customHeight="1" x14ac:dyDescent="0.2"/>
    <row r="330" ht="33.75" customHeight="1" x14ac:dyDescent="0.2"/>
    <row r="331" ht="33.75" customHeight="1" x14ac:dyDescent="0.2"/>
    <row r="332" ht="33.75" customHeight="1" x14ac:dyDescent="0.2"/>
    <row r="333" ht="33.75" customHeight="1" x14ac:dyDescent="0.2"/>
    <row r="334" ht="33.75" customHeight="1" x14ac:dyDescent="0.2"/>
    <row r="335" ht="33.75" customHeight="1" x14ac:dyDescent="0.2"/>
    <row r="336" ht="33.75" customHeight="1" x14ac:dyDescent="0.2"/>
    <row r="337" ht="33.75" customHeight="1" x14ac:dyDescent="0.2"/>
    <row r="338" ht="33.75" customHeight="1" x14ac:dyDescent="0.2"/>
    <row r="339" ht="33.75" customHeight="1" x14ac:dyDescent="0.2"/>
    <row r="340" ht="33.75" customHeight="1" x14ac:dyDescent="0.2"/>
    <row r="341" ht="33.75" customHeight="1" x14ac:dyDescent="0.2"/>
    <row r="342" ht="33.75" customHeight="1" x14ac:dyDescent="0.2"/>
    <row r="343" ht="33.75" customHeight="1" x14ac:dyDescent="0.2"/>
    <row r="344" ht="33.75" customHeight="1" x14ac:dyDescent="0.2"/>
    <row r="345" ht="33.75" customHeight="1" x14ac:dyDescent="0.2"/>
    <row r="346" ht="33.75" customHeight="1" x14ac:dyDescent="0.2"/>
    <row r="347" ht="33.75" customHeight="1" x14ac:dyDescent="0.2"/>
    <row r="348" ht="33.75" customHeight="1" x14ac:dyDescent="0.2"/>
    <row r="349" ht="33.75" customHeight="1" x14ac:dyDescent="0.2"/>
    <row r="350" ht="33.75" customHeight="1" x14ac:dyDescent="0.2"/>
    <row r="351" ht="33.75" customHeight="1" x14ac:dyDescent="0.2"/>
    <row r="352" ht="33.75" customHeight="1" x14ac:dyDescent="0.2"/>
    <row r="353" ht="33.75" customHeight="1" x14ac:dyDescent="0.2"/>
    <row r="354" ht="33.75" customHeight="1" x14ac:dyDescent="0.2"/>
    <row r="355" ht="33.75" customHeight="1" x14ac:dyDescent="0.2"/>
    <row r="356" ht="33.75" customHeight="1" x14ac:dyDescent="0.2"/>
    <row r="357" ht="33.75" customHeight="1" x14ac:dyDescent="0.2"/>
    <row r="358" ht="33.75" customHeight="1" x14ac:dyDescent="0.2"/>
    <row r="359" ht="33.75" customHeight="1" x14ac:dyDescent="0.2"/>
    <row r="360" ht="33.75" customHeight="1" x14ac:dyDescent="0.2"/>
    <row r="361" ht="33.75" customHeight="1" x14ac:dyDescent="0.2"/>
    <row r="362" ht="33.75" customHeight="1" x14ac:dyDescent="0.2"/>
    <row r="363" ht="33.75" customHeight="1" x14ac:dyDescent="0.2"/>
    <row r="364" ht="33.75" customHeight="1" x14ac:dyDescent="0.2"/>
    <row r="365" ht="33.75" customHeight="1" x14ac:dyDescent="0.2"/>
    <row r="366" ht="33.75" customHeight="1" x14ac:dyDescent="0.2"/>
    <row r="367" ht="33.75" customHeight="1" x14ac:dyDescent="0.2"/>
    <row r="368" ht="33.75" customHeight="1" x14ac:dyDescent="0.2"/>
    <row r="369" ht="33.75" customHeight="1" x14ac:dyDescent="0.2"/>
    <row r="370" ht="33.75" customHeight="1" x14ac:dyDescent="0.2"/>
    <row r="371" ht="33.75" customHeight="1" x14ac:dyDescent="0.2"/>
    <row r="372" ht="33.75" customHeight="1" x14ac:dyDescent="0.2"/>
    <row r="373" ht="33.75" customHeight="1" x14ac:dyDescent="0.2"/>
    <row r="374" ht="33.75" customHeight="1" x14ac:dyDescent="0.2"/>
    <row r="375" ht="33.75" customHeight="1" x14ac:dyDescent="0.2"/>
    <row r="376" ht="33.75" customHeight="1" x14ac:dyDescent="0.2"/>
    <row r="377" ht="33.75" customHeight="1" x14ac:dyDescent="0.2"/>
    <row r="378" ht="33.75" customHeight="1" x14ac:dyDescent="0.2"/>
    <row r="379" ht="33.75" customHeight="1" x14ac:dyDescent="0.2"/>
    <row r="380" ht="33.75" customHeight="1" x14ac:dyDescent="0.2"/>
    <row r="381" ht="33.75" customHeight="1" x14ac:dyDescent="0.2"/>
    <row r="382" ht="33.75" customHeight="1" x14ac:dyDescent="0.2"/>
    <row r="383" ht="33.75" customHeight="1" x14ac:dyDescent="0.2"/>
    <row r="384" ht="33.75" customHeight="1" x14ac:dyDescent="0.2"/>
    <row r="385" ht="33.75" customHeight="1" x14ac:dyDescent="0.2"/>
    <row r="386" ht="33.75" customHeight="1" x14ac:dyDescent="0.2"/>
    <row r="387" ht="33.75" customHeight="1" x14ac:dyDescent="0.2"/>
    <row r="388" ht="33.75" customHeight="1" x14ac:dyDescent="0.2"/>
    <row r="389" ht="33.75" customHeight="1" x14ac:dyDescent="0.2"/>
    <row r="390" ht="33.75" customHeight="1" x14ac:dyDescent="0.2"/>
    <row r="391" ht="33.75" customHeight="1" x14ac:dyDescent="0.2"/>
    <row r="392" ht="33.75" customHeight="1" x14ac:dyDescent="0.2"/>
    <row r="393" ht="33.75" customHeight="1" x14ac:dyDescent="0.2"/>
    <row r="394" ht="33.75" customHeight="1" x14ac:dyDescent="0.2"/>
    <row r="395" ht="33.75" customHeight="1" x14ac:dyDescent="0.2"/>
    <row r="396" ht="33.75" customHeight="1" x14ac:dyDescent="0.2"/>
    <row r="397" ht="33.75" customHeight="1" x14ac:dyDescent="0.2"/>
    <row r="398" ht="33.75" customHeight="1" x14ac:dyDescent="0.2"/>
    <row r="399" ht="33.75" customHeight="1" x14ac:dyDescent="0.2"/>
    <row r="400" ht="33.75" customHeight="1" x14ac:dyDescent="0.2"/>
    <row r="401" ht="33.75" customHeight="1" x14ac:dyDescent="0.2"/>
    <row r="402" ht="33.75" customHeight="1" x14ac:dyDescent="0.2"/>
    <row r="403" ht="33.75" customHeight="1" x14ac:dyDescent="0.2"/>
    <row r="404" ht="33.75" customHeight="1" x14ac:dyDescent="0.2"/>
    <row r="405" ht="33.75" customHeight="1" x14ac:dyDescent="0.2"/>
    <row r="406" ht="33.75" customHeight="1" x14ac:dyDescent="0.2"/>
    <row r="407" ht="33.75" customHeight="1" x14ac:dyDescent="0.2"/>
    <row r="408" ht="33.75" customHeight="1" x14ac:dyDescent="0.2"/>
    <row r="409" ht="33.75" customHeight="1" x14ac:dyDescent="0.2"/>
    <row r="410" ht="33.75" customHeight="1" x14ac:dyDescent="0.2"/>
    <row r="411" ht="33.75" customHeight="1" x14ac:dyDescent="0.2"/>
    <row r="412" ht="33.75" customHeight="1" x14ac:dyDescent="0.2"/>
    <row r="413" ht="33.75" customHeight="1" x14ac:dyDescent="0.2"/>
    <row r="414" ht="33.75" customHeight="1" x14ac:dyDescent="0.2"/>
    <row r="415" ht="33.75" customHeight="1" x14ac:dyDescent="0.2"/>
    <row r="416" ht="33.75" customHeight="1" x14ac:dyDescent="0.2"/>
    <row r="417" ht="33.75" customHeight="1" x14ac:dyDescent="0.2"/>
    <row r="418" ht="33.75" customHeight="1" x14ac:dyDescent="0.2"/>
    <row r="419" ht="33.75" customHeight="1" x14ac:dyDescent="0.2"/>
    <row r="420" ht="33.75" customHeight="1" x14ac:dyDescent="0.2"/>
    <row r="421" ht="33.75" customHeight="1" x14ac:dyDescent="0.2"/>
    <row r="422" ht="33.75" customHeight="1" x14ac:dyDescent="0.2"/>
    <row r="423" ht="33.75" customHeight="1" x14ac:dyDescent="0.2"/>
    <row r="424" ht="33.75" customHeight="1" x14ac:dyDescent="0.2"/>
    <row r="425" ht="33.75" customHeight="1" x14ac:dyDescent="0.2"/>
    <row r="426" ht="33.75" customHeight="1" x14ac:dyDescent="0.2"/>
    <row r="427" ht="33.75" customHeight="1" x14ac:dyDescent="0.2"/>
    <row r="428" ht="33.75" customHeight="1" x14ac:dyDescent="0.2"/>
    <row r="429" ht="33.75" customHeight="1" x14ac:dyDescent="0.2"/>
    <row r="430" ht="33.75" customHeight="1" x14ac:dyDescent="0.2"/>
    <row r="431" ht="33.75" customHeight="1" x14ac:dyDescent="0.2"/>
    <row r="432" ht="33.75" customHeight="1" x14ac:dyDescent="0.2"/>
    <row r="433" ht="33.75" customHeight="1" x14ac:dyDescent="0.2"/>
    <row r="434" ht="33.75" customHeight="1" x14ac:dyDescent="0.2"/>
    <row r="435" ht="33.75" customHeight="1" x14ac:dyDescent="0.2"/>
    <row r="436" ht="33.75" customHeight="1" x14ac:dyDescent="0.2"/>
    <row r="437" ht="33.75" customHeight="1" x14ac:dyDescent="0.2"/>
    <row r="438" ht="33.75" customHeight="1" x14ac:dyDescent="0.2"/>
    <row r="439" ht="33.75" customHeight="1" x14ac:dyDescent="0.2"/>
    <row r="440" ht="33.75" customHeight="1" x14ac:dyDescent="0.2"/>
    <row r="441" ht="33.75" customHeight="1" x14ac:dyDescent="0.2"/>
    <row r="442" ht="33.75" customHeight="1" x14ac:dyDescent="0.2"/>
    <row r="443" ht="33.75" customHeight="1" x14ac:dyDescent="0.2"/>
    <row r="444" ht="33.75" customHeight="1" x14ac:dyDescent="0.2"/>
    <row r="445" ht="33.75" customHeight="1" x14ac:dyDescent="0.2"/>
    <row r="446" ht="33.75" customHeight="1" x14ac:dyDescent="0.2"/>
    <row r="447" ht="33.75" customHeight="1" x14ac:dyDescent="0.2"/>
    <row r="448" ht="33.75" customHeight="1" x14ac:dyDescent="0.2"/>
    <row r="449" ht="33.75" customHeight="1" x14ac:dyDescent="0.2"/>
    <row r="450" ht="33.75" customHeight="1" x14ac:dyDescent="0.2"/>
    <row r="451" ht="33.75" customHeight="1" x14ac:dyDescent="0.2"/>
    <row r="452" ht="33.75" customHeight="1" x14ac:dyDescent="0.2"/>
    <row r="453" ht="33.75" customHeight="1" x14ac:dyDescent="0.2"/>
    <row r="454" ht="33.75" customHeight="1" x14ac:dyDescent="0.2"/>
    <row r="455" ht="33.75" customHeight="1" x14ac:dyDescent="0.2"/>
    <row r="456" ht="33.75" customHeight="1" x14ac:dyDescent="0.2"/>
    <row r="457" ht="33.75" customHeight="1" x14ac:dyDescent="0.2"/>
    <row r="458" ht="33.75" customHeight="1" x14ac:dyDescent="0.2"/>
    <row r="459" ht="33.75" customHeight="1" x14ac:dyDescent="0.2"/>
    <row r="460" ht="33.75" customHeight="1" x14ac:dyDescent="0.2"/>
    <row r="461" ht="33.75" customHeight="1" x14ac:dyDescent="0.2"/>
    <row r="462" ht="33.75" customHeight="1" x14ac:dyDescent="0.2"/>
    <row r="463" ht="33.75" customHeight="1" x14ac:dyDescent="0.2"/>
    <row r="464" ht="33.75" customHeight="1" x14ac:dyDescent="0.2"/>
    <row r="465" ht="33.75" customHeight="1" x14ac:dyDescent="0.2"/>
    <row r="466" ht="33.75" customHeight="1" x14ac:dyDescent="0.2"/>
    <row r="467" ht="33.75" customHeight="1" x14ac:dyDescent="0.2"/>
    <row r="468" ht="33.75" customHeight="1" x14ac:dyDescent="0.2"/>
    <row r="469" ht="33.75" customHeight="1" x14ac:dyDescent="0.2"/>
    <row r="470" ht="33.75" customHeight="1" x14ac:dyDescent="0.2"/>
    <row r="471" ht="33.75" customHeight="1" x14ac:dyDescent="0.2"/>
    <row r="472" ht="33.75" customHeight="1" x14ac:dyDescent="0.2"/>
    <row r="473" ht="33.75" customHeight="1" x14ac:dyDescent="0.2"/>
    <row r="474" ht="33.75" customHeight="1" x14ac:dyDescent="0.2"/>
    <row r="475" ht="33.75" customHeight="1" x14ac:dyDescent="0.2"/>
    <row r="476" ht="33.75" customHeight="1" x14ac:dyDescent="0.2"/>
    <row r="477" ht="33.75" customHeight="1" x14ac:dyDescent="0.2"/>
    <row r="478" ht="33.75" customHeight="1" x14ac:dyDescent="0.2"/>
    <row r="479" ht="33.75" customHeight="1" x14ac:dyDescent="0.2"/>
    <row r="480" ht="33.75" customHeight="1" x14ac:dyDescent="0.2"/>
    <row r="481" ht="33.75" customHeight="1" x14ac:dyDescent="0.2"/>
    <row r="482" ht="33.75" customHeight="1" x14ac:dyDescent="0.2"/>
    <row r="483" ht="33.75" customHeight="1" x14ac:dyDescent="0.2"/>
    <row r="484" ht="33.75" customHeight="1" x14ac:dyDescent="0.2"/>
    <row r="485" ht="33.75" customHeight="1" x14ac:dyDescent="0.2"/>
    <row r="486" ht="33.75" customHeight="1" x14ac:dyDescent="0.2"/>
    <row r="487" ht="33.75" customHeight="1" x14ac:dyDescent="0.2"/>
    <row r="488" ht="33.75" customHeight="1" x14ac:dyDescent="0.2"/>
    <row r="489" ht="33.75" customHeight="1" x14ac:dyDescent="0.2"/>
    <row r="490" ht="33.75" customHeight="1" x14ac:dyDescent="0.2"/>
    <row r="491" ht="33.75" customHeight="1" x14ac:dyDescent="0.2"/>
    <row r="492" ht="33.75" customHeight="1" x14ac:dyDescent="0.2"/>
    <row r="493" ht="33.75" customHeight="1" x14ac:dyDescent="0.2"/>
    <row r="494" ht="33.75" customHeight="1" x14ac:dyDescent="0.2"/>
    <row r="495" ht="33.75" customHeight="1" x14ac:dyDescent="0.2"/>
    <row r="496" ht="33.75" customHeight="1" x14ac:dyDescent="0.2"/>
    <row r="497" ht="33.75" customHeight="1" x14ac:dyDescent="0.2"/>
    <row r="498" ht="33.75" customHeight="1" x14ac:dyDescent="0.2"/>
    <row r="499" ht="33.75" customHeight="1" x14ac:dyDescent="0.2"/>
    <row r="500" ht="33.75" customHeight="1" x14ac:dyDescent="0.2"/>
    <row r="501" ht="33.75" customHeight="1" x14ac:dyDescent="0.2"/>
    <row r="502" ht="33.75" customHeight="1" x14ac:dyDescent="0.2"/>
    <row r="503" ht="33.75" customHeight="1" x14ac:dyDescent="0.2"/>
    <row r="504" ht="33.75" customHeight="1" x14ac:dyDescent="0.2"/>
    <row r="505" ht="33.75" customHeight="1" x14ac:dyDescent="0.2"/>
    <row r="506" ht="33.75" customHeight="1" x14ac:dyDescent="0.2"/>
    <row r="507" ht="33.75" customHeight="1" x14ac:dyDescent="0.2"/>
    <row r="508" ht="33.75" customHeight="1" x14ac:dyDescent="0.2"/>
    <row r="509" ht="33.75" customHeight="1" x14ac:dyDescent="0.2"/>
    <row r="510" ht="33.75" customHeight="1" x14ac:dyDescent="0.2"/>
    <row r="511" ht="33.75" customHeight="1" x14ac:dyDescent="0.2"/>
    <row r="512" ht="33.75" customHeight="1" x14ac:dyDescent="0.2"/>
    <row r="513" ht="33.75" customHeight="1" x14ac:dyDescent="0.2"/>
    <row r="514" ht="33.75" customHeight="1" x14ac:dyDescent="0.2"/>
    <row r="515" ht="33.75" customHeight="1" x14ac:dyDescent="0.2"/>
    <row r="516" ht="33.75" customHeight="1" x14ac:dyDescent="0.2"/>
    <row r="517" ht="33.75" customHeight="1" x14ac:dyDescent="0.2"/>
    <row r="518" ht="33.75" customHeight="1" x14ac:dyDescent="0.2"/>
    <row r="519" ht="33.75" customHeight="1" x14ac:dyDescent="0.2"/>
    <row r="520" ht="33.75" customHeight="1" x14ac:dyDescent="0.2"/>
    <row r="521" ht="33.75" customHeight="1" x14ac:dyDescent="0.2"/>
    <row r="522" ht="33.75" customHeight="1" x14ac:dyDescent="0.2"/>
    <row r="523" ht="33.75" customHeight="1" x14ac:dyDescent="0.2"/>
    <row r="524" ht="33.75" customHeight="1" x14ac:dyDescent="0.2"/>
    <row r="525" ht="33.75" customHeight="1" x14ac:dyDescent="0.2"/>
    <row r="526" ht="33.75" customHeight="1" x14ac:dyDescent="0.2"/>
    <row r="527" ht="33.75" customHeight="1" x14ac:dyDescent="0.2"/>
    <row r="528" ht="33.75" customHeight="1" x14ac:dyDescent="0.2"/>
    <row r="529" ht="33.75" customHeight="1" x14ac:dyDescent="0.2"/>
    <row r="530" ht="33.75" customHeight="1" x14ac:dyDescent="0.2"/>
    <row r="531" ht="33.75" customHeight="1" x14ac:dyDescent="0.2"/>
    <row r="532" ht="33.75" customHeight="1" x14ac:dyDescent="0.2"/>
    <row r="533" ht="33.75" customHeight="1" x14ac:dyDescent="0.2"/>
    <row r="534" ht="33.75" customHeight="1" x14ac:dyDescent="0.2"/>
    <row r="535" ht="33.75" customHeight="1" x14ac:dyDescent="0.2"/>
    <row r="536" ht="33.75" customHeight="1" x14ac:dyDescent="0.2"/>
    <row r="537" ht="33.75" customHeight="1" x14ac:dyDescent="0.2"/>
    <row r="538" ht="33.75" customHeight="1" x14ac:dyDescent="0.2"/>
    <row r="539" ht="33.75" customHeight="1" x14ac:dyDescent="0.2"/>
    <row r="540" ht="33.75" customHeight="1" x14ac:dyDescent="0.2"/>
    <row r="541" ht="33.75" customHeight="1" x14ac:dyDescent="0.2"/>
    <row r="542" ht="33.75" customHeight="1" x14ac:dyDescent="0.2"/>
    <row r="543" ht="33.75" customHeight="1" x14ac:dyDescent="0.2"/>
    <row r="544" ht="33.75" customHeight="1" x14ac:dyDescent="0.2"/>
    <row r="545" ht="33.75" customHeight="1" x14ac:dyDescent="0.2"/>
    <row r="546" ht="33.75" customHeight="1" x14ac:dyDescent="0.2"/>
    <row r="547" ht="33.75" customHeight="1" x14ac:dyDescent="0.2"/>
    <row r="548" ht="33.75" customHeight="1" x14ac:dyDescent="0.2"/>
    <row r="549" ht="33.75" customHeight="1" x14ac:dyDescent="0.2"/>
    <row r="550" ht="33.75" customHeight="1" x14ac:dyDescent="0.2"/>
    <row r="551" ht="33.75" customHeight="1" x14ac:dyDescent="0.2"/>
    <row r="552" ht="33.75" customHeight="1" x14ac:dyDescent="0.2"/>
    <row r="553" ht="33.75" customHeight="1" x14ac:dyDescent="0.2"/>
    <row r="554" ht="33.75" customHeight="1" x14ac:dyDescent="0.2"/>
    <row r="555" ht="33.75" customHeight="1" x14ac:dyDescent="0.2"/>
    <row r="556" ht="33.75" customHeight="1" x14ac:dyDescent="0.2"/>
    <row r="557" ht="33.75" customHeight="1" x14ac:dyDescent="0.2"/>
    <row r="558" ht="33.75" customHeight="1" x14ac:dyDescent="0.2"/>
    <row r="559" ht="33.75" customHeight="1" x14ac:dyDescent="0.2"/>
    <row r="560" ht="33.75" customHeight="1" x14ac:dyDescent="0.2"/>
    <row r="561" ht="33.75" customHeight="1" x14ac:dyDescent="0.2"/>
    <row r="562" ht="33.75" customHeight="1" x14ac:dyDescent="0.2"/>
    <row r="563" ht="33.75" customHeight="1" x14ac:dyDescent="0.2"/>
    <row r="564" ht="33.75" customHeight="1" x14ac:dyDescent="0.2"/>
    <row r="565" ht="33.75" customHeight="1" x14ac:dyDescent="0.2"/>
    <row r="566" ht="33.75" customHeight="1" x14ac:dyDescent="0.2"/>
    <row r="567" ht="33.75" customHeight="1" x14ac:dyDescent="0.2"/>
    <row r="568" ht="33.75" customHeight="1" x14ac:dyDescent="0.2"/>
    <row r="569" ht="33.75" customHeight="1" x14ac:dyDescent="0.2"/>
    <row r="570" ht="33.75" customHeight="1" x14ac:dyDescent="0.2"/>
    <row r="571" ht="33.75" customHeight="1" x14ac:dyDescent="0.2"/>
    <row r="572" ht="33.75" customHeight="1" x14ac:dyDescent="0.2"/>
    <row r="573" ht="33.75" customHeight="1" x14ac:dyDescent="0.2"/>
    <row r="574" ht="33.75" customHeight="1" x14ac:dyDescent="0.2"/>
    <row r="575" ht="33.75" customHeight="1" x14ac:dyDescent="0.2"/>
    <row r="576" ht="33.75" customHeight="1" x14ac:dyDescent="0.2"/>
    <row r="577" ht="33.75" customHeight="1" x14ac:dyDescent="0.2"/>
    <row r="578" ht="33.75" customHeight="1" x14ac:dyDescent="0.2"/>
    <row r="579" ht="33.75" customHeight="1" x14ac:dyDescent="0.2"/>
    <row r="580" ht="33.75" customHeight="1" x14ac:dyDescent="0.2"/>
    <row r="581" ht="33.75" customHeight="1" x14ac:dyDescent="0.2"/>
    <row r="582" ht="33.75" customHeight="1" x14ac:dyDescent="0.2"/>
    <row r="583" ht="33.75" customHeight="1" x14ac:dyDescent="0.2"/>
    <row r="584" ht="33.75" customHeight="1" x14ac:dyDescent="0.2"/>
    <row r="585" ht="33.75" customHeight="1" x14ac:dyDescent="0.2"/>
    <row r="586" ht="33.75" customHeight="1" x14ac:dyDescent="0.2"/>
    <row r="587" ht="33.75" customHeight="1" x14ac:dyDescent="0.2"/>
    <row r="588" ht="33.75" customHeight="1" x14ac:dyDescent="0.2"/>
    <row r="589" ht="33.75" customHeight="1" x14ac:dyDescent="0.2"/>
    <row r="590" ht="33.75" customHeight="1" x14ac:dyDescent="0.2"/>
    <row r="591" ht="33.75" customHeight="1" x14ac:dyDescent="0.2"/>
    <row r="592" ht="33.75" customHeight="1" x14ac:dyDescent="0.2"/>
    <row r="593" ht="33.75" customHeight="1" x14ac:dyDescent="0.2"/>
    <row r="594" ht="33.75" customHeight="1" x14ac:dyDescent="0.2"/>
    <row r="595" ht="33.75" customHeight="1" x14ac:dyDescent="0.2"/>
    <row r="596" ht="33.75" customHeight="1" x14ac:dyDescent="0.2"/>
    <row r="597" ht="33.75" customHeight="1" x14ac:dyDescent="0.2"/>
    <row r="598" ht="33.75" customHeight="1" x14ac:dyDescent="0.2"/>
    <row r="599" ht="33.75" customHeight="1" x14ac:dyDescent="0.2"/>
    <row r="600" ht="33.75" customHeight="1" x14ac:dyDescent="0.2"/>
    <row r="601" ht="33.75" customHeight="1" x14ac:dyDescent="0.2"/>
    <row r="602" ht="33.75" customHeight="1" x14ac:dyDescent="0.2"/>
    <row r="603" ht="33.75" customHeight="1" x14ac:dyDescent="0.2"/>
    <row r="604" ht="33.75" customHeight="1" x14ac:dyDescent="0.2"/>
    <row r="605" ht="33.75" customHeight="1" x14ac:dyDescent="0.2"/>
    <row r="606" ht="33.75" customHeight="1" x14ac:dyDescent="0.2"/>
    <row r="607" ht="33.75" customHeight="1" x14ac:dyDescent="0.2"/>
    <row r="608" ht="33.75" customHeight="1" x14ac:dyDescent="0.2"/>
    <row r="609" ht="33.75" customHeight="1" x14ac:dyDescent="0.2"/>
    <row r="610" ht="33.75" customHeight="1" x14ac:dyDescent="0.2"/>
    <row r="611" ht="33.75" customHeight="1" x14ac:dyDescent="0.2"/>
    <row r="612" ht="33.75" customHeight="1" x14ac:dyDescent="0.2"/>
    <row r="613" ht="33.75" customHeight="1" x14ac:dyDescent="0.2"/>
    <row r="614" ht="33.75" customHeight="1" x14ac:dyDescent="0.2"/>
    <row r="615" ht="33.75" customHeight="1" x14ac:dyDescent="0.2"/>
    <row r="616" ht="33.75" customHeight="1" x14ac:dyDescent="0.2"/>
    <row r="617" ht="33.75" customHeight="1" x14ac:dyDescent="0.2"/>
    <row r="618" ht="33.75" customHeight="1" x14ac:dyDescent="0.2"/>
    <row r="619" ht="33.75" customHeight="1" x14ac:dyDescent="0.2"/>
    <row r="620" ht="33.75" customHeight="1" x14ac:dyDescent="0.2"/>
    <row r="621" ht="33.75" customHeight="1" x14ac:dyDescent="0.2"/>
    <row r="622" ht="33.75" customHeight="1" x14ac:dyDescent="0.2"/>
    <row r="623" ht="33.75" customHeight="1" x14ac:dyDescent="0.2"/>
    <row r="624" ht="33.75" customHeight="1" x14ac:dyDescent="0.2"/>
    <row r="625" ht="33.75" customHeight="1" x14ac:dyDescent="0.2"/>
    <row r="626" ht="33.75" customHeight="1" x14ac:dyDescent="0.2"/>
    <row r="627" ht="33.75" customHeight="1" x14ac:dyDescent="0.2"/>
    <row r="628" ht="33.75" customHeight="1" x14ac:dyDescent="0.2"/>
    <row r="629" ht="33.75" customHeight="1" x14ac:dyDescent="0.2"/>
    <row r="630" ht="33.75" customHeight="1" x14ac:dyDescent="0.2"/>
    <row r="631" ht="33.75" customHeight="1" x14ac:dyDescent="0.2"/>
    <row r="632" ht="33.75" customHeight="1" x14ac:dyDescent="0.2"/>
    <row r="633" ht="33.75" customHeight="1" x14ac:dyDescent="0.2"/>
    <row r="634" ht="33.75" customHeight="1" x14ac:dyDescent="0.2"/>
    <row r="635" ht="33.75" customHeight="1" x14ac:dyDescent="0.2"/>
    <row r="636" ht="33.75" customHeight="1" x14ac:dyDescent="0.2"/>
    <row r="637" ht="33.75" customHeight="1" x14ac:dyDescent="0.2"/>
    <row r="638" ht="33.75" customHeight="1" x14ac:dyDescent="0.2"/>
    <row r="639" ht="33.75" customHeight="1" x14ac:dyDescent="0.2"/>
    <row r="640" ht="33.75" customHeight="1" x14ac:dyDescent="0.2"/>
    <row r="641" ht="33.75" customHeight="1" x14ac:dyDescent="0.2"/>
    <row r="642" ht="33.75" customHeight="1" x14ac:dyDescent="0.2"/>
    <row r="643" ht="33.75" customHeight="1" x14ac:dyDescent="0.2"/>
    <row r="644" ht="33.75" customHeight="1" x14ac:dyDescent="0.2"/>
    <row r="645" ht="33.75" customHeight="1" x14ac:dyDescent="0.2"/>
    <row r="646" ht="33.75" customHeight="1" x14ac:dyDescent="0.2"/>
    <row r="647" ht="33.75" customHeight="1" x14ac:dyDescent="0.2"/>
    <row r="648" ht="33.75" customHeight="1" x14ac:dyDescent="0.2"/>
    <row r="649" ht="33.75" customHeight="1" x14ac:dyDescent="0.2"/>
    <row r="650" ht="33.75" customHeight="1" x14ac:dyDescent="0.2"/>
    <row r="651" ht="33.75" customHeight="1" x14ac:dyDescent="0.2"/>
    <row r="652" ht="33.75" customHeight="1" x14ac:dyDescent="0.2"/>
    <row r="653" ht="33.75" customHeight="1" x14ac:dyDescent="0.2"/>
    <row r="654" ht="33.75" customHeight="1" x14ac:dyDescent="0.2"/>
    <row r="655" ht="33.75" customHeight="1" x14ac:dyDescent="0.2"/>
    <row r="656" ht="33.75" customHeight="1" x14ac:dyDescent="0.2"/>
    <row r="657" ht="33.75" customHeight="1" x14ac:dyDescent="0.2"/>
    <row r="658" ht="33.75" customHeight="1" x14ac:dyDescent="0.2"/>
    <row r="659" ht="33.75" customHeight="1" x14ac:dyDescent="0.2"/>
    <row r="660" ht="33.75" customHeight="1" x14ac:dyDescent="0.2"/>
    <row r="661" ht="33.75" customHeight="1" x14ac:dyDescent="0.2"/>
    <row r="662" ht="33.75" customHeight="1" x14ac:dyDescent="0.2"/>
    <row r="663" ht="33.75" customHeight="1" x14ac:dyDescent="0.2"/>
    <row r="664" ht="33.75" customHeight="1" x14ac:dyDescent="0.2"/>
    <row r="665" ht="33.75" customHeight="1" x14ac:dyDescent="0.2"/>
    <row r="666" ht="33.75" customHeight="1" x14ac:dyDescent="0.2"/>
    <row r="667" ht="33.75" customHeight="1" x14ac:dyDescent="0.2"/>
    <row r="668" ht="33.75" customHeight="1" x14ac:dyDescent="0.2"/>
    <row r="669" ht="33.75" customHeight="1" x14ac:dyDescent="0.2"/>
    <row r="670" ht="33.75" customHeight="1" x14ac:dyDescent="0.2"/>
    <row r="671" ht="33.75" customHeight="1" x14ac:dyDescent="0.2"/>
    <row r="672" ht="33.75" customHeight="1" x14ac:dyDescent="0.2"/>
    <row r="673" ht="33.75" customHeight="1" x14ac:dyDescent="0.2"/>
    <row r="674" ht="33.75" customHeight="1" x14ac:dyDescent="0.2"/>
    <row r="675" ht="33.75" customHeight="1" x14ac:dyDescent="0.2"/>
    <row r="676" ht="33.75" customHeight="1" x14ac:dyDescent="0.2"/>
    <row r="677" ht="33.75" customHeight="1" x14ac:dyDescent="0.2"/>
    <row r="678" ht="33.75" customHeight="1" x14ac:dyDescent="0.2"/>
    <row r="679" ht="33.75" customHeight="1" x14ac:dyDescent="0.2"/>
    <row r="680" ht="33.75" customHeight="1" x14ac:dyDescent="0.2"/>
    <row r="681" ht="33.75" customHeight="1" x14ac:dyDescent="0.2"/>
    <row r="682" ht="33.75" customHeight="1" x14ac:dyDescent="0.2"/>
    <row r="683" ht="33.75" customHeight="1" x14ac:dyDescent="0.2"/>
    <row r="684" ht="33.75" customHeight="1" x14ac:dyDescent="0.2"/>
    <row r="685" ht="33.75" customHeight="1" x14ac:dyDescent="0.2"/>
    <row r="686" ht="33.75" customHeight="1" x14ac:dyDescent="0.2"/>
    <row r="687" ht="33.75" customHeight="1" x14ac:dyDescent="0.2"/>
    <row r="688" ht="33.75" customHeight="1" x14ac:dyDescent="0.2"/>
    <row r="689" ht="33.75" customHeight="1" x14ac:dyDescent="0.2"/>
    <row r="690" ht="33.75" customHeight="1" x14ac:dyDescent="0.2"/>
    <row r="691" ht="33.75" customHeight="1" x14ac:dyDescent="0.2"/>
    <row r="692" ht="33.75" customHeight="1" x14ac:dyDescent="0.2"/>
    <row r="693" ht="33.75" customHeight="1" x14ac:dyDescent="0.2"/>
    <row r="694" ht="33.75" customHeight="1" x14ac:dyDescent="0.2"/>
    <row r="695" ht="33.75" customHeight="1" x14ac:dyDescent="0.2"/>
    <row r="696" ht="33.75" customHeight="1" x14ac:dyDescent="0.2"/>
    <row r="697" ht="33.75" customHeight="1" x14ac:dyDescent="0.2"/>
    <row r="698" ht="33.75" customHeight="1" x14ac:dyDescent="0.2"/>
    <row r="699" ht="33.75" customHeight="1" x14ac:dyDescent="0.2"/>
    <row r="700" ht="33.75" customHeight="1" x14ac:dyDescent="0.2"/>
    <row r="701" ht="33.75" customHeight="1" x14ac:dyDescent="0.2"/>
    <row r="702" ht="33.75" customHeight="1" x14ac:dyDescent="0.2"/>
    <row r="703" ht="33.75" customHeight="1" x14ac:dyDescent="0.2"/>
    <row r="704" ht="33.75" customHeight="1" x14ac:dyDescent="0.2"/>
    <row r="705" ht="33.75" customHeight="1" x14ac:dyDescent="0.2"/>
    <row r="706" ht="33.75" customHeight="1" x14ac:dyDescent="0.2"/>
    <row r="707" ht="33.75" customHeight="1" x14ac:dyDescent="0.2"/>
    <row r="708" ht="33.75" customHeight="1" x14ac:dyDescent="0.2"/>
    <row r="709" ht="33.75" customHeight="1" x14ac:dyDescent="0.2"/>
    <row r="710" ht="33.75" customHeight="1" x14ac:dyDescent="0.2"/>
    <row r="711" ht="33.75" customHeight="1" x14ac:dyDescent="0.2"/>
    <row r="712" ht="33.75" customHeight="1" x14ac:dyDescent="0.2"/>
    <row r="713" ht="33.75" customHeight="1" x14ac:dyDescent="0.2"/>
    <row r="714" ht="33.75" customHeight="1" x14ac:dyDescent="0.2"/>
    <row r="715" ht="33.75" customHeight="1" x14ac:dyDescent="0.2"/>
    <row r="716" ht="33.75" customHeight="1" x14ac:dyDescent="0.2"/>
    <row r="717" ht="33.75" customHeight="1" x14ac:dyDescent="0.2"/>
    <row r="718" ht="33.75" customHeight="1" x14ac:dyDescent="0.2"/>
    <row r="719" ht="33.75" customHeight="1" x14ac:dyDescent="0.2"/>
    <row r="720" ht="33.75" customHeight="1" x14ac:dyDescent="0.2"/>
    <row r="721" ht="33.75" customHeight="1" x14ac:dyDescent="0.2"/>
    <row r="722" ht="33.75" customHeight="1" x14ac:dyDescent="0.2"/>
    <row r="723" ht="33.75" customHeight="1" x14ac:dyDescent="0.2"/>
    <row r="724" ht="33.75" customHeight="1" x14ac:dyDescent="0.2"/>
    <row r="725" ht="33.75" customHeight="1" x14ac:dyDescent="0.2"/>
    <row r="726" ht="33.75" customHeight="1" x14ac:dyDescent="0.2"/>
    <row r="727" ht="33.75" customHeight="1" x14ac:dyDescent="0.2"/>
    <row r="728" ht="33.75" customHeight="1" x14ac:dyDescent="0.2"/>
    <row r="729" ht="33.75" customHeight="1" x14ac:dyDescent="0.2"/>
    <row r="730" ht="33.75" customHeight="1" x14ac:dyDescent="0.2"/>
    <row r="731" ht="33.75" customHeight="1" x14ac:dyDescent="0.2"/>
    <row r="732" ht="33.75" customHeight="1" x14ac:dyDescent="0.2"/>
    <row r="733" ht="33.75" customHeight="1" x14ac:dyDescent="0.2"/>
    <row r="734" ht="33.75" customHeight="1" x14ac:dyDescent="0.2"/>
    <row r="735" ht="33.75" customHeight="1" x14ac:dyDescent="0.2"/>
    <row r="736" ht="33.75" customHeight="1" x14ac:dyDescent="0.2"/>
    <row r="737" ht="33.75" customHeight="1" x14ac:dyDescent="0.2"/>
    <row r="738" ht="33.75" customHeight="1" x14ac:dyDescent="0.2"/>
    <row r="739" ht="33.75" customHeight="1" x14ac:dyDescent="0.2"/>
    <row r="740" ht="33.75" customHeight="1" x14ac:dyDescent="0.2"/>
    <row r="741" ht="33.75" customHeight="1" x14ac:dyDescent="0.2"/>
    <row r="742" ht="33.75" customHeight="1" x14ac:dyDescent="0.2"/>
    <row r="743" ht="33.75" customHeight="1" x14ac:dyDescent="0.2"/>
    <row r="744" ht="33.75" customHeight="1" x14ac:dyDescent="0.2"/>
    <row r="745" ht="33.75" customHeight="1" x14ac:dyDescent="0.2"/>
    <row r="746" ht="33.75" customHeight="1" x14ac:dyDescent="0.2"/>
    <row r="747" ht="33.75" customHeight="1" x14ac:dyDescent="0.2"/>
    <row r="748" ht="33.75" customHeight="1" x14ac:dyDescent="0.2"/>
    <row r="749" ht="33.75" customHeight="1" x14ac:dyDescent="0.2"/>
    <row r="750" ht="33.75" customHeight="1" x14ac:dyDescent="0.2"/>
    <row r="751" ht="33.75" customHeight="1" x14ac:dyDescent="0.2"/>
    <row r="752" ht="33.75" customHeight="1" x14ac:dyDescent="0.2"/>
    <row r="753" ht="33.75" customHeight="1" x14ac:dyDescent="0.2"/>
    <row r="754" ht="33.75" customHeight="1" x14ac:dyDescent="0.2"/>
    <row r="755" ht="33.75" customHeight="1" x14ac:dyDescent="0.2"/>
    <row r="756" ht="33.75" customHeight="1" x14ac:dyDescent="0.2"/>
    <row r="757" ht="33.75" customHeight="1" x14ac:dyDescent="0.2"/>
    <row r="758" ht="33.75" customHeight="1" x14ac:dyDescent="0.2"/>
    <row r="759" ht="33.75" customHeight="1" x14ac:dyDescent="0.2"/>
    <row r="760" ht="33.75" customHeight="1" x14ac:dyDescent="0.2"/>
    <row r="761" ht="33.75" customHeight="1" x14ac:dyDescent="0.2"/>
    <row r="762" ht="33.75" customHeight="1" x14ac:dyDescent="0.2"/>
    <row r="763" ht="33.75" customHeight="1" x14ac:dyDescent="0.2"/>
    <row r="764" ht="33.75" customHeight="1" x14ac:dyDescent="0.2"/>
    <row r="765" ht="33.75" customHeight="1" x14ac:dyDescent="0.2"/>
    <row r="766" ht="33.75" customHeight="1" x14ac:dyDescent="0.2"/>
    <row r="767" ht="33.75" customHeight="1" x14ac:dyDescent="0.2"/>
    <row r="768" ht="33.75" customHeight="1" x14ac:dyDescent="0.2"/>
    <row r="769" ht="33.75" customHeight="1" x14ac:dyDescent="0.2"/>
    <row r="770" ht="33.75" customHeight="1" x14ac:dyDescent="0.2"/>
    <row r="771" ht="33.75" customHeight="1" x14ac:dyDescent="0.2"/>
    <row r="772" ht="33.75" customHeight="1" x14ac:dyDescent="0.2"/>
    <row r="773" ht="33.75" customHeight="1" x14ac:dyDescent="0.2"/>
    <row r="774" ht="33.75" customHeight="1" x14ac:dyDescent="0.2"/>
    <row r="775" ht="33.75" customHeight="1" x14ac:dyDescent="0.2"/>
    <row r="776" ht="33.75" customHeight="1" x14ac:dyDescent="0.2"/>
    <row r="777" ht="33.75" customHeight="1" x14ac:dyDescent="0.2"/>
    <row r="778" ht="33.75" customHeight="1" x14ac:dyDescent="0.2"/>
    <row r="779" ht="33.75" customHeight="1" x14ac:dyDescent="0.2"/>
    <row r="780" ht="33.75" customHeight="1" x14ac:dyDescent="0.2"/>
    <row r="781" ht="33.75" customHeight="1" x14ac:dyDescent="0.2"/>
    <row r="782" ht="33.75" customHeight="1" x14ac:dyDescent="0.2"/>
    <row r="783" ht="33.75" customHeight="1" x14ac:dyDescent="0.2"/>
    <row r="784" ht="33.75" customHeight="1" x14ac:dyDescent="0.2"/>
    <row r="785" ht="33.75" customHeight="1" x14ac:dyDescent="0.2"/>
    <row r="786" ht="33.75" customHeight="1" x14ac:dyDescent="0.2"/>
    <row r="787" ht="33.75" customHeight="1" x14ac:dyDescent="0.2"/>
    <row r="788" ht="33.75" customHeight="1" x14ac:dyDescent="0.2"/>
    <row r="789" ht="33.75" customHeight="1" x14ac:dyDescent="0.2"/>
    <row r="790" ht="33.75" customHeight="1" x14ac:dyDescent="0.2"/>
    <row r="791" ht="33.75" customHeight="1" x14ac:dyDescent="0.2"/>
    <row r="792" ht="33.75" customHeight="1" x14ac:dyDescent="0.2"/>
    <row r="793" ht="33.75" customHeight="1" x14ac:dyDescent="0.2"/>
    <row r="794" ht="33.75" customHeight="1" x14ac:dyDescent="0.2"/>
    <row r="795" ht="33.75" customHeight="1" x14ac:dyDescent="0.2"/>
    <row r="796" ht="33.75" customHeight="1" x14ac:dyDescent="0.2"/>
    <row r="797" ht="33.75" customHeight="1" x14ac:dyDescent="0.2"/>
    <row r="798" ht="33.75" customHeight="1" x14ac:dyDescent="0.2"/>
    <row r="799" ht="33.75" customHeight="1" x14ac:dyDescent="0.2"/>
    <row r="800" ht="33.75" customHeight="1" x14ac:dyDescent="0.2"/>
    <row r="801" ht="33.75" customHeight="1" x14ac:dyDescent="0.2"/>
    <row r="802" ht="33.75" customHeight="1" x14ac:dyDescent="0.2"/>
    <row r="803" ht="33.75" customHeight="1" x14ac:dyDescent="0.2"/>
    <row r="804" ht="33.75" customHeight="1" x14ac:dyDescent="0.2"/>
    <row r="805" ht="33.75" customHeight="1" x14ac:dyDescent="0.2"/>
    <row r="806" ht="33.75" customHeight="1" x14ac:dyDescent="0.2"/>
    <row r="807" ht="33.75" customHeight="1" x14ac:dyDescent="0.2"/>
    <row r="808" ht="33.75" customHeight="1" x14ac:dyDescent="0.2"/>
    <row r="809" ht="33.75" customHeight="1" x14ac:dyDescent="0.2"/>
    <row r="810" ht="33.75" customHeight="1" x14ac:dyDescent="0.2"/>
    <row r="811" ht="33.75" customHeight="1" x14ac:dyDescent="0.2"/>
    <row r="812" ht="33.75" customHeight="1" x14ac:dyDescent="0.2"/>
    <row r="813" ht="33.75" customHeight="1" x14ac:dyDescent="0.2"/>
    <row r="814" ht="33.75" customHeight="1" x14ac:dyDescent="0.2"/>
    <row r="815" ht="33.75" customHeight="1" x14ac:dyDescent="0.2"/>
    <row r="816" ht="33.75" customHeight="1" x14ac:dyDescent="0.2"/>
    <row r="817" ht="33.75" customHeight="1" x14ac:dyDescent="0.2"/>
    <row r="818" ht="33.75" customHeight="1" x14ac:dyDescent="0.2"/>
    <row r="819" ht="33.75" customHeight="1" x14ac:dyDescent="0.2"/>
    <row r="820" ht="33.75" customHeight="1" x14ac:dyDescent="0.2"/>
    <row r="821" ht="33.75" customHeight="1" x14ac:dyDescent="0.2"/>
    <row r="822" ht="33.75" customHeight="1" x14ac:dyDescent="0.2"/>
    <row r="823" ht="33.75" customHeight="1" x14ac:dyDescent="0.2"/>
    <row r="824" ht="33.75" customHeight="1" x14ac:dyDescent="0.2"/>
    <row r="825" ht="33.75" customHeight="1" x14ac:dyDescent="0.2"/>
    <row r="826" ht="33.75" customHeight="1" x14ac:dyDescent="0.2"/>
    <row r="827" ht="33.75" customHeight="1" x14ac:dyDescent="0.2"/>
    <row r="828" ht="33.75" customHeight="1" x14ac:dyDescent="0.2"/>
    <row r="829" ht="33.75" customHeight="1" x14ac:dyDescent="0.2"/>
    <row r="830" ht="33.75" customHeight="1" x14ac:dyDescent="0.2"/>
    <row r="831" ht="33.75" customHeight="1" x14ac:dyDescent="0.2"/>
    <row r="832" ht="33.75" customHeight="1" x14ac:dyDescent="0.2"/>
    <row r="833" ht="33.75" customHeight="1" x14ac:dyDescent="0.2"/>
    <row r="834" ht="33.75" customHeight="1" x14ac:dyDescent="0.2"/>
    <row r="835" ht="33.75" customHeight="1" x14ac:dyDescent="0.2"/>
    <row r="836" ht="33.75" customHeight="1" x14ac:dyDescent="0.2"/>
    <row r="837" ht="33.75" customHeight="1" x14ac:dyDescent="0.2"/>
    <row r="838" ht="33.75" customHeight="1" x14ac:dyDescent="0.2"/>
    <row r="839" ht="33.75" customHeight="1" x14ac:dyDescent="0.2"/>
    <row r="840" ht="33.75" customHeight="1" x14ac:dyDescent="0.2"/>
    <row r="841" ht="33.75" customHeight="1" x14ac:dyDescent="0.2"/>
    <row r="842" ht="33.75" customHeight="1" x14ac:dyDescent="0.2"/>
    <row r="843" ht="33.75" customHeight="1" x14ac:dyDescent="0.2"/>
    <row r="844" ht="33.75" customHeight="1" x14ac:dyDescent="0.2"/>
    <row r="845" ht="33.75" customHeight="1" x14ac:dyDescent="0.2"/>
    <row r="846" ht="33.75" customHeight="1" x14ac:dyDescent="0.2"/>
    <row r="847" ht="33.75" customHeight="1" x14ac:dyDescent="0.2"/>
    <row r="848" ht="33.75" customHeight="1" x14ac:dyDescent="0.2"/>
    <row r="849" ht="33.75" customHeight="1" x14ac:dyDescent="0.2"/>
    <row r="850" ht="33.75" customHeight="1" x14ac:dyDescent="0.2"/>
    <row r="851" ht="33.75" customHeight="1" x14ac:dyDescent="0.2"/>
    <row r="852" ht="33.75" customHeight="1" x14ac:dyDescent="0.2"/>
    <row r="853" ht="33.75" customHeight="1" x14ac:dyDescent="0.2"/>
    <row r="854" ht="33.75" customHeight="1" x14ac:dyDescent="0.2"/>
    <row r="855" ht="33.75" customHeight="1" x14ac:dyDescent="0.2"/>
    <row r="856" ht="33.75" customHeight="1" x14ac:dyDescent="0.2"/>
    <row r="857" ht="33.75" customHeight="1" x14ac:dyDescent="0.2"/>
    <row r="858" ht="33.75" customHeight="1" x14ac:dyDescent="0.2"/>
    <row r="859" ht="33.75" customHeight="1" x14ac:dyDescent="0.2"/>
    <row r="860" ht="33.75" customHeight="1" x14ac:dyDescent="0.2"/>
    <row r="861" ht="33.75" customHeight="1" x14ac:dyDescent="0.2"/>
    <row r="862" ht="33.75" customHeight="1" x14ac:dyDescent="0.2"/>
    <row r="863" ht="33.75" customHeight="1" x14ac:dyDescent="0.2"/>
    <row r="864" ht="33.75" customHeight="1" x14ac:dyDescent="0.2"/>
    <row r="865" ht="33.75" customHeight="1" x14ac:dyDescent="0.2"/>
    <row r="866" ht="33.75" customHeight="1" x14ac:dyDescent="0.2"/>
    <row r="867" ht="33.75" customHeight="1" x14ac:dyDescent="0.2"/>
    <row r="868" ht="33.75" customHeight="1" x14ac:dyDescent="0.2"/>
    <row r="869" ht="33.75" customHeight="1" x14ac:dyDescent="0.2"/>
    <row r="870" ht="33.75" customHeight="1" x14ac:dyDescent="0.2"/>
    <row r="871" ht="33.75" customHeight="1" x14ac:dyDescent="0.2"/>
    <row r="872" ht="33.75" customHeight="1" x14ac:dyDescent="0.2"/>
    <row r="873" ht="33.75" customHeight="1" x14ac:dyDescent="0.2"/>
    <row r="874" ht="33.75" customHeight="1" x14ac:dyDescent="0.2"/>
    <row r="875" ht="33.75" customHeight="1" x14ac:dyDescent="0.2"/>
    <row r="876" ht="33.75" customHeight="1" x14ac:dyDescent="0.2"/>
    <row r="877" ht="33.75" customHeight="1" x14ac:dyDescent="0.2"/>
    <row r="878" ht="33.75" customHeight="1" x14ac:dyDescent="0.2"/>
    <row r="879" ht="33.75" customHeight="1" x14ac:dyDescent="0.2"/>
    <row r="880" ht="33.75" customHeight="1" x14ac:dyDescent="0.2"/>
    <row r="881" ht="33.75" customHeight="1" x14ac:dyDescent="0.2"/>
    <row r="882" ht="33.75" customHeight="1" x14ac:dyDescent="0.2"/>
    <row r="883" ht="33.75" customHeight="1" x14ac:dyDescent="0.2"/>
    <row r="884" ht="33.75" customHeight="1" x14ac:dyDescent="0.2"/>
    <row r="885" ht="33.75" customHeight="1" x14ac:dyDescent="0.2"/>
    <row r="886" ht="33.75" customHeight="1" x14ac:dyDescent="0.2"/>
    <row r="887" ht="33.75" customHeight="1" x14ac:dyDescent="0.2"/>
    <row r="888" ht="33.75" customHeight="1" x14ac:dyDescent="0.2"/>
    <row r="889" ht="33.75" customHeight="1" x14ac:dyDescent="0.2"/>
    <row r="890" ht="33.75" customHeight="1" x14ac:dyDescent="0.2"/>
    <row r="891" ht="33.75" customHeight="1" x14ac:dyDescent="0.2"/>
    <row r="892" ht="33.75" customHeight="1" x14ac:dyDescent="0.2"/>
    <row r="893" ht="33.75" customHeight="1" x14ac:dyDescent="0.2"/>
    <row r="894" ht="33.75" customHeight="1" x14ac:dyDescent="0.2"/>
    <row r="895" ht="33.75" customHeight="1" x14ac:dyDescent="0.2"/>
    <row r="896" ht="33.75" customHeight="1" x14ac:dyDescent="0.2"/>
    <row r="897" ht="33.75" customHeight="1" x14ac:dyDescent="0.2"/>
    <row r="898" ht="33.75" customHeight="1" x14ac:dyDescent="0.2"/>
    <row r="899" ht="33.75" customHeight="1" x14ac:dyDescent="0.2"/>
    <row r="900" ht="33.75" customHeight="1" x14ac:dyDescent="0.2"/>
    <row r="901" ht="33.75" customHeight="1" x14ac:dyDescent="0.2"/>
    <row r="902" ht="33.75" customHeight="1" x14ac:dyDescent="0.2"/>
    <row r="903" ht="33.75" customHeight="1" x14ac:dyDescent="0.2"/>
    <row r="904" ht="33.75" customHeight="1" x14ac:dyDescent="0.2"/>
    <row r="905" ht="33.75" customHeight="1" x14ac:dyDescent="0.2"/>
    <row r="906" ht="33.75" customHeight="1" x14ac:dyDescent="0.2"/>
    <row r="907" ht="33.75" customHeight="1" x14ac:dyDescent="0.2"/>
    <row r="908" ht="33.75" customHeight="1" x14ac:dyDescent="0.2"/>
    <row r="909" ht="33.75" customHeight="1" x14ac:dyDescent="0.2"/>
    <row r="910" ht="33.75" customHeight="1" x14ac:dyDescent="0.2"/>
    <row r="911" ht="33.75" customHeight="1" x14ac:dyDescent="0.2"/>
    <row r="912" ht="33.75" customHeight="1" x14ac:dyDescent="0.2"/>
    <row r="913" ht="33.75" customHeight="1" x14ac:dyDescent="0.2"/>
    <row r="914" ht="33.75" customHeight="1" x14ac:dyDescent="0.2"/>
    <row r="915" ht="33.75" customHeight="1" x14ac:dyDescent="0.2"/>
    <row r="916" ht="33.75" customHeight="1" x14ac:dyDescent="0.2"/>
    <row r="917" ht="33.75" customHeight="1" x14ac:dyDescent="0.2"/>
    <row r="918" ht="33.75" customHeight="1" x14ac:dyDescent="0.2"/>
    <row r="919" ht="33.75" customHeight="1" x14ac:dyDescent="0.2"/>
    <row r="920" ht="33.75" customHeight="1" x14ac:dyDescent="0.2"/>
    <row r="921" ht="33.75" customHeight="1" x14ac:dyDescent="0.2"/>
    <row r="922" ht="33.75" customHeight="1" x14ac:dyDescent="0.2"/>
    <row r="923" ht="33.75" customHeight="1" x14ac:dyDescent="0.2"/>
    <row r="924" ht="33.75" customHeight="1" x14ac:dyDescent="0.2"/>
    <row r="925" ht="33.75" customHeight="1" x14ac:dyDescent="0.2"/>
    <row r="926" ht="33.75" customHeight="1" x14ac:dyDescent="0.2"/>
    <row r="927" ht="33.75" customHeight="1" x14ac:dyDescent="0.2"/>
    <row r="928" ht="33.75" customHeight="1" x14ac:dyDescent="0.2"/>
    <row r="929" ht="33.75" customHeight="1" x14ac:dyDescent="0.2"/>
    <row r="930" ht="33.75" customHeight="1" x14ac:dyDescent="0.2"/>
    <row r="931" ht="33.75" customHeight="1" x14ac:dyDescent="0.2"/>
    <row r="932" ht="33.75" customHeight="1" x14ac:dyDescent="0.2"/>
    <row r="933" ht="33.75" customHeight="1" x14ac:dyDescent="0.2"/>
    <row r="934" ht="33.75" customHeight="1" x14ac:dyDescent="0.2"/>
    <row r="935" ht="33.75" customHeight="1" x14ac:dyDescent="0.2"/>
    <row r="936" ht="33.75" customHeight="1" x14ac:dyDescent="0.2"/>
    <row r="937" ht="33.75" customHeight="1" x14ac:dyDescent="0.2"/>
    <row r="938" ht="33.75" customHeight="1" x14ac:dyDescent="0.2"/>
    <row r="939" ht="33.75" customHeight="1" x14ac:dyDescent="0.2"/>
    <row r="940" ht="33.75" customHeight="1" x14ac:dyDescent="0.2"/>
    <row r="941" ht="33.75" customHeight="1" x14ac:dyDescent="0.2"/>
    <row r="942" ht="33.75" customHeight="1" x14ac:dyDescent="0.2"/>
    <row r="943" ht="33.75" customHeight="1" x14ac:dyDescent="0.2"/>
    <row r="944" ht="33.75" customHeight="1" x14ac:dyDescent="0.2"/>
    <row r="945" ht="33.75" customHeight="1" x14ac:dyDescent="0.2"/>
  </sheetData>
  <mergeCells count="47">
    <mergeCell ref="A185:A186"/>
    <mergeCell ref="A190:A191"/>
    <mergeCell ref="A195:A196"/>
    <mergeCell ref="A200:A201"/>
    <mergeCell ref="A165:A166"/>
    <mergeCell ref="A170:A171"/>
    <mergeCell ref="A175:A176"/>
    <mergeCell ref="A180:A181"/>
    <mergeCell ref="A148:A149"/>
    <mergeCell ref="A154:A155"/>
    <mergeCell ref="A160:A161"/>
    <mergeCell ref="A130:A131"/>
    <mergeCell ref="A136:A137"/>
    <mergeCell ref="A142:A143"/>
    <mergeCell ref="C122:I122"/>
    <mergeCell ref="J122:P122"/>
    <mergeCell ref="Q122:W122"/>
    <mergeCell ref="X122:AC122"/>
    <mergeCell ref="A124:A125"/>
    <mergeCell ref="C116:I116"/>
    <mergeCell ref="J116:P116"/>
    <mergeCell ref="Q116:W116"/>
    <mergeCell ref="X116:AC116"/>
    <mergeCell ref="A118:A119"/>
    <mergeCell ref="A89:A90"/>
    <mergeCell ref="A96:A97"/>
    <mergeCell ref="A99:A100"/>
    <mergeCell ref="A106:A107"/>
    <mergeCell ref="A112:A113"/>
    <mergeCell ref="A59:A60"/>
    <mergeCell ref="A66:A67"/>
    <mergeCell ref="A69:A70"/>
    <mergeCell ref="A76:A77"/>
    <mergeCell ref="A79:A80"/>
    <mergeCell ref="A86:A87"/>
    <mergeCell ref="A29:A30"/>
    <mergeCell ref="A36:A37"/>
    <mergeCell ref="A39:A40"/>
    <mergeCell ref="A46:A47"/>
    <mergeCell ref="A49:A50"/>
    <mergeCell ref="A56:A57"/>
    <mergeCell ref="C1:M1"/>
    <mergeCell ref="A6:A7"/>
    <mergeCell ref="A9:A10"/>
    <mergeCell ref="A16:A17"/>
    <mergeCell ref="A19:A20"/>
    <mergeCell ref="A26:A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operasi (HOP) 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Kurniawan</dc:creator>
  <cp:lastModifiedBy>Agus Kurniawan</cp:lastModifiedBy>
  <dcterms:created xsi:type="dcterms:W3CDTF">2026-09-16T09:49:28Z</dcterms:created>
  <dcterms:modified xsi:type="dcterms:W3CDTF">2026-09-16T09:59:43Z</dcterms:modified>
</cp:coreProperties>
</file>