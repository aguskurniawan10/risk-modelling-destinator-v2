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theme/themeOverride5.xml" ContentType="application/vnd.openxmlformats-officedocument.themeOverrid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theme/themeOverride6.xml" ContentType="application/vnd.openxmlformats-officedocument.themeOverrid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theme/themeOverride7.xml" ContentType="application/vnd.openxmlformats-officedocument.themeOverrid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theme/themeOverride8.xml" ContentType="application/vnd.openxmlformats-officedocument.themeOverrid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theme/themeOverride9.xml" ContentType="application/vnd.openxmlformats-officedocument.themeOverrid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theme/themeOverride10.xml" ContentType="application/vnd.openxmlformats-officedocument.themeOverrid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theme/themeOverride11.xml" ContentType="application/vnd.openxmlformats-officedocument.themeOverrid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theme/themeOverride12.xml" ContentType="application/vnd.openxmlformats-officedocument.themeOverrid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theme/themeOverride13.xml" ContentType="application/vnd.openxmlformats-officedocument.themeOverrid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theme/themeOverride14.xml" ContentType="application/vnd.openxmlformats-officedocument.themeOverrid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theme/themeOverride15.xml" ContentType="application/vnd.openxmlformats-officedocument.themeOverrid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theme/themeOverride16.xml" ContentType="application/vnd.openxmlformats-officedocument.themeOverrid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theme/themeOverride17.xml" ContentType="application/vnd.openxmlformats-officedocument.themeOverride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theme/themeOverride18.xml" ContentType="application/vnd.openxmlformats-officedocument.themeOverride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theme/themeOverride19.xml" ContentType="application/vnd.openxmlformats-officedocument.themeOverride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theme/themeOverride20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gus.kurniawan\Desktop\Risk Based PLN 2026\Destinator\"/>
    </mc:Choice>
  </mc:AlternateContent>
  <xr:revisionPtr revIDLastSave="0" documentId="13_ncr:1_{015CBDCF-4C75-4B6F-9309-B44ACCF34BF3}" xr6:coauthVersionLast="47" xr6:coauthVersionMax="47" xr10:uidLastSave="{00000000-0000-0000-0000-000000000000}"/>
  <bookViews>
    <workbookView xWindow="-120" yWindow="-120" windowWidth="29040" windowHeight="15720" firstSheet="14" activeTab="19" xr2:uid="{A288DB53-EA08-4A86-9BA8-0AA0BE188915}"/>
  </bookViews>
  <sheets>
    <sheet name="coal blend jan 25" sheetId="2" r:id="rId1"/>
    <sheet name="coal blend feb 25" sheetId="3" r:id="rId2"/>
    <sheet name="coal blend mar 25" sheetId="4" r:id="rId3"/>
    <sheet name="coal blend apr 25" sheetId="5" r:id="rId4"/>
    <sheet name="coal blend mei 25" sheetId="6" r:id="rId5"/>
    <sheet name="coal blend juni 25" sheetId="7" r:id="rId6"/>
    <sheet name="coal blend juli 25" sheetId="8" r:id="rId7"/>
    <sheet name="coal blend agustus 25" sheetId="9" r:id="rId8"/>
    <sheet name="coal blend sept 25" sheetId="10" r:id="rId9"/>
    <sheet name="coal blend okt 25" sheetId="11" r:id="rId10"/>
    <sheet name="coal blend nov 25" sheetId="12" r:id="rId11"/>
    <sheet name="coal blend des 25" sheetId="13" r:id="rId12"/>
    <sheet name="coal blend jan 26" sheetId="14" r:id="rId13"/>
    <sheet name="coal blend feb 26" sheetId="15" r:id="rId14"/>
    <sheet name="coal blend mar 26" sheetId="16" r:id="rId15"/>
    <sheet name="coal blend april 26" sheetId="17" r:id="rId16"/>
    <sheet name="coal blend mei 26" sheetId="18" r:id="rId17"/>
    <sheet name="coal blend juni 26" sheetId="19" r:id="rId18"/>
    <sheet name="coal blend juli 26" sheetId="20" r:id="rId19"/>
    <sheet name="coal blend agustus 26" sheetId="21" r:id="rId20"/>
  </sheets>
  <externalReferences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a" localSheetId="7">#REF!</definedName>
    <definedName name="a" localSheetId="19">#REF!</definedName>
    <definedName name="a" localSheetId="3">#REF!</definedName>
    <definedName name="a" localSheetId="15">#REF!</definedName>
    <definedName name="a" localSheetId="11">#REF!</definedName>
    <definedName name="a" localSheetId="1">#REF!</definedName>
    <definedName name="a" localSheetId="13">#REF!</definedName>
    <definedName name="a" localSheetId="0">#REF!</definedName>
    <definedName name="a" localSheetId="12">#REF!</definedName>
    <definedName name="a" localSheetId="6">#REF!</definedName>
    <definedName name="a" localSheetId="18">#REF!</definedName>
    <definedName name="a" localSheetId="5">#REF!</definedName>
    <definedName name="a" localSheetId="17">#REF!</definedName>
    <definedName name="a" localSheetId="2">#REF!</definedName>
    <definedName name="a" localSheetId="14">#REF!</definedName>
    <definedName name="a" localSheetId="4">#REF!</definedName>
    <definedName name="a" localSheetId="16">#REF!</definedName>
    <definedName name="a" localSheetId="10">#REF!</definedName>
    <definedName name="a" localSheetId="9">#REF!</definedName>
    <definedName name="a" localSheetId="8">#REF!</definedName>
    <definedName name="a">#REF!</definedName>
    <definedName name="ccode">[2]R_ccode!$B$2:$D$968</definedName>
    <definedName name="DBCode" localSheetId="7">#REF!</definedName>
    <definedName name="DBCode" localSheetId="19">#REF!</definedName>
    <definedName name="DBCode" localSheetId="3">#REF!</definedName>
    <definedName name="DBCode" localSheetId="15">#REF!</definedName>
    <definedName name="DBCode" localSheetId="11">#REF!</definedName>
    <definedName name="DBCode" localSheetId="1">#REF!</definedName>
    <definedName name="DBCode" localSheetId="13">#REF!</definedName>
    <definedName name="DBCode" localSheetId="0">#REF!</definedName>
    <definedName name="DBCode" localSheetId="12">#REF!</definedName>
    <definedName name="DBCode" localSheetId="6">#REF!</definedName>
    <definedName name="DBCode" localSheetId="18">#REF!</definedName>
    <definedName name="DBCode" localSheetId="5">#REF!</definedName>
    <definedName name="DBCode" localSheetId="17">#REF!</definedName>
    <definedName name="DBCode" localSheetId="2">#REF!</definedName>
    <definedName name="DBCode" localSheetId="14">#REF!</definedName>
    <definedName name="DBCode" localSheetId="4">#REF!</definedName>
    <definedName name="DBCode" localSheetId="16">#REF!</definedName>
    <definedName name="DBCode" localSheetId="10">#REF!</definedName>
    <definedName name="DBCode" localSheetId="9">#REF!</definedName>
    <definedName name="DBCode" localSheetId="8">#REF!</definedName>
    <definedName name="DBCode">#REF!</definedName>
    <definedName name="dbcode2" localSheetId="7">#REF!</definedName>
    <definedName name="dbcode2" localSheetId="19">#REF!</definedName>
    <definedName name="dbcode2" localSheetId="3">#REF!</definedName>
    <definedName name="dbcode2" localSheetId="15">#REF!</definedName>
    <definedName name="dbcode2" localSheetId="11">#REF!</definedName>
    <definedName name="dbcode2" localSheetId="1">#REF!</definedName>
    <definedName name="dbcode2" localSheetId="13">#REF!</definedName>
    <definedName name="dbcode2" localSheetId="0">#REF!</definedName>
    <definedName name="dbcode2" localSheetId="12">#REF!</definedName>
    <definedName name="dbcode2" localSheetId="6">#REF!</definedName>
    <definedName name="dbcode2" localSheetId="18">#REF!</definedName>
    <definedName name="dbcode2" localSheetId="5">#REF!</definedName>
    <definedName name="dbcode2" localSheetId="17">#REF!</definedName>
    <definedName name="dbcode2" localSheetId="2">#REF!</definedName>
    <definedName name="dbcode2" localSheetId="14">#REF!</definedName>
    <definedName name="dbcode2" localSheetId="4">#REF!</definedName>
    <definedName name="dbcode2" localSheetId="16">#REF!</definedName>
    <definedName name="dbcode2" localSheetId="10">#REF!</definedName>
    <definedName name="dbcode2" localSheetId="9">#REF!</definedName>
    <definedName name="dbcode2" localSheetId="8">#REF!</definedName>
    <definedName name="dbcode2">#REF!</definedName>
    <definedName name="MB_1">[3]Data_Mutation!$G$3:$G$4741</definedName>
    <definedName name="MB_2">[3]Data_Mutation!$H$3:$H$4741</definedName>
    <definedName name="MB_3">[3]Data_Mutation!$I$3:$I$4741</definedName>
    <definedName name="status">[2]StU!$B$2:$E$18</definedName>
    <definedName name="STOCK_EFF">[3]Data_Mutation!$K$3:$K$4741</definedName>
    <definedName name="STOCK_TOT">[3]Data_Mutation!$N$3:$N$4741</definedName>
    <definedName name="SUPPLI">[3]Data_Mutation!$T$3:$T$4741</definedName>
    <definedName name="T_ccode" localSheetId="7">#REF!</definedName>
    <definedName name="T_ccode" localSheetId="19">#REF!</definedName>
    <definedName name="T_ccode" localSheetId="3">#REF!</definedName>
    <definedName name="T_ccode" localSheetId="15">#REF!</definedName>
    <definedName name="T_ccode" localSheetId="11">#REF!</definedName>
    <definedName name="T_ccode" localSheetId="1">#REF!</definedName>
    <definedName name="T_ccode" localSheetId="13">#REF!</definedName>
    <definedName name="T_ccode" localSheetId="0">#REF!</definedName>
    <definedName name="T_ccode" localSheetId="12">#REF!</definedName>
    <definedName name="T_ccode" localSheetId="6">#REF!</definedName>
    <definedName name="T_ccode" localSheetId="18">#REF!</definedName>
    <definedName name="T_ccode" localSheetId="5">#REF!</definedName>
    <definedName name="T_ccode" localSheetId="17">#REF!</definedName>
    <definedName name="T_ccode" localSheetId="2">#REF!</definedName>
    <definedName name="T_ccode" localSheetId="14">#REF!</definedName>
    <definedName name="T_ccode" localSheetId="4">#REF!</definedName>
    <definedName name="T_ccode" localSheetId="16">#REF!</definedName>
    <definedName name="T_ccode" localSheetId="10">#REF!</definedName>
    <definedName name="T_ccode" localSheetId="9">#REF!</definedName>
    <definedName name="T_ccode" localSheetId="8">#REF!</definedName>
    <definedName name="T_ccode">#REF!</definedName>
    <definedName name="TGL_MUTASI">[3]Data_Mutation!$E$3:$E$4741</definedName>
    <definedName name="Unit_st" localSheetId="7">#REF!</definedName>
    <definedName name="Unit_st" localSheetId="19">#REF!</definedName>
    <definedName name="Unit_st" localSheetId="3">#REF!</definedName>
    <definedName name="Unit_st" localSheetId="15">#REF!</definedName>
    <definedName name="Unit_st" localSheetId="11">#REF!</definedName>
    <definedName name="Unit_st" localSheetId="1">#REF!</definedName>
    <definedName name="Unit_st" localSheetId="13">#REF!</definedName>
    <definedName name="Unit_st" localSheetId="0">#REF!</definedName>
    <definedName name="Unit_st" localSheetId="12">#REF!</definedName>
    <definedName name="Unit_st" localSheetId="6">#REF!</definedName>
    <definedName name="Unit_st" localSheetId="18">#REF!</definedName>
    <definedName name="Unit_st" localSheetId="5">#REF!</definedName>
    <definedName name="Unit_st" localSheetId="17">#REF!</definedName>
    <definedName name="Unit_st" localSheetId="2">#REF!</definedName>
    <definedName name="Unit_st" localSheetId="14">#REF!</definedName>
    <definedName name="Unit_st" localSheetId="4">#REF!</definedName>
    <definedName name="Unit_st" localSheetId="16">#REF!</definedName>
    <definedName name="Unit_st" localSheetId="10">#REF!</definedName>
    <definedName name="Unit_st" localSheetId="9">#REF!</definedName>
    <definedName name="Unit_st" localSheetId="8">#REF!</definedName>
    <definedName name="Unit_st">#REF!</definedName>
    <definedName name="VOL_PAKAI">[3]Data_Mutation!$J$3:$J$4741</definedName>
    <definedName name="VOL_TERIMA">[3]Data_Mutation!$F$3:$F$4741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3" i="21" l="1"/>
  <c r="F33" i="21" s="1"/>
  <c r="H33" i="21" s="1"/>
  <c r="D33" i="21"/>
  <c r="C33" i="21"/>
  <c r="I33" i="21" s="1"/>
  <c r="I32" i="21"/>
  <c r="E32" i="21"/>
  <c r="F32" i="21" s="1"/>
  <c r="H32" i="21" s="1"/>
  <c r="D32" i="21"/>
  <c r="C32" i="21"/>
  <c r="E31" i="21"/>
  <c r="G31" i="21" s="1"/>
  <c r="D31" i="21"/>
  <c r="C31" i="21"/>
  <c r="I31" i="21" s="1"/>
  <c r="I30" i="21"/>
  <c r="G30" i="21"/>
  <c r="F30" i="21"/>
  <c r="H30" i="21" s="1"/>
  <c r="E30" i="21"/>
  <c r="D30" i="21"/>
  <c r="C30" i="21"/>
  <c r="E29" i="21"/>
  <c r="F29" i="21" s="1"/>
  <c r="H29" i="21" s="1"/>
  <c r="D29" i="21"/>
  <c r="G29" i="21" s="1"/>
  <c r="C29" i="21"/>
  <c r="I29" i="21" s="1"/>
  <c r="E28" i="21"/>
  <c r="F28" i="21" s="1"/>
  <c r="H28" i="21" s="1"/>
  <c r="D28" i="21"/>
  <c r="I28" i="21" s="1"/>
  <c r="C28" i="21"/>
  <c r="E27" i="21"/>
  <c r="G27" i="21" s="1"/>
  <c r="D27" i="21"/>
  <c r="C27" i="21"/>
  <c r="I27" i="21" s="1"/>
  <c r="E26" i="21"/>
  <c r="G26" i="21" s="1"/>
  <c r="D26" i="21"/>
  <c r="C26" i="21"/>
  <c r="I26" i="21" s="1"/>
  <c r="I25" i="21"/>
  <c r="F25" i="21"/>
  <c r="H25" i="21" s="1"/>
  <c r="E25" i="21"/>
  <c r="G25" i="21" s="1"/>
  <c r="D25" i="21"/>
  <c r="C25" i="21"/>
  <c r="E24" i="21"/>
  <c r="F24" i="21" s="1"/>
  <c r="H24" i="21" s="1"/>
  <c r="D24" i="21"/>
  <c r="C24" i="21"/>
  <c r="I24" i="21" s="1"/>
  <c r="I23" i="21"/>
  <c r="H23" i="21"/>
  <c r="G23" i="21"/>
  <c r="F23" i="21"/>
  <c r="E23" i="21"/>
  <c r="D23" i="21"/>
  <c r="C23" i="21"/>
  <c r="E22" i="21"/>
  <c r="G22" i="21" s="1"/>
  <c r="D22" i="21"/>
  <c r="C22" i="21"/>
  <c r="I22" i="21" s="1"/>
  <c r="I21" i="21"/>
  <c r="E21" i="21"/>
  <c r="F21" i="21" s="1"/>
  <c r="H21" i="21" s="1"/>
  <c r="D21" i="21"/>
  <c r="C21" i="21"/>
  <c r="F20" i="21"/>
  <c r="H20" i="21" s="1"/>
  <c r="E20" i="21"/>
  <c r="G20" i="21" s="1"/>
  <c r="D20" i="21"/>
  <c r="C20" i="21"/>
  <c r="I20" i="21" s="1"/>
  <c r="E19" i="21"/>
  <c r="G19" i="21" s="1"/>
  <c r="D19" i="21"/>
  <c r="C19" i="21"/>
  <c r="I19" i="21" s="1"/>
  <c r="E18" i="21"/>
  <c r="F18" i="21" s="1"/>
  <c r="H18" i="21" s="1"/>
  <c r="D18" i="21"/>
  <c r="G18" i="21" s="1"/>
  <c r="C18" i="21"/>
  <c r="E17" i="21"/>
  <c r="F17" i="21" s="1"/>
  <c r="H17" i="21" s="1"/>
  <c r="D17" i="21"/>
  <c r="C17" i="21"/>
  <c r="I17" i="21" s="1"/>
  <c r="I16" i="21"/>
  <c r="E16" i="21"/>
  <c r="F16" i="21" s="1"/>
  <c r="H16" i="21" s="1"/>
  <c r="D16" i="21"/>
  <c r="C16" i="21"/>
  <c r="E15" i="21"/>
  <c r="F15" i="21" s="1"/>
  <c r="H15" i="21" s="1"/>
  <c r="D15" i="21"/>
  <c r="C15" i="21"/>
  <c r="I15" i="21" s="1"/>
  <c r="I14" i="21"/>
  <c r="G14" i="21"/>
  <c r="F14" i="21"/>
  <c r="H14" i="21" s="1"/>
  <c r="E14" i="21"/>
  <c r="D14" i="21"/>
  <c r="C14" i="21"/>
  <c r="E13" i="21"/>
  <c r="F13" i="21" s="1"/>
  <c r="H13" i="21" s="1"/>
  <c r="D13" i="21"/>
  <c r="G13" i="21" s="1"/>
  <c r="C13" i="21"/>
  <c r="I13" i="21" s="1"/>
  <c r="E12" i="21"/>
  <c r="G12" i="21" s="1"/>
  <c r="D12" i="21"/>
  <c r="I12" i="21" s="1"/>
  <c r="C12" i="21"/>
  <c r="E11" i="21"/>
  <c r="G11" i="21" s="1"/>
  <c r="D11" i="21"/>
  <c r="C11" i="21"/>
  <c r="I11" i="21" s="1"/>
  <c r="E10" i="21"/>
  <c r="G10" i="21" s="1"/>
  <c r="D10" i="21"/>
  <c r="C10" i="21"/>
  <c r="I10" i="21" s="1"/>
  <c r="I9" i="21"/>
  <c r="F9" i="21"/>
  <c r="H9" i="21" s="1"/>
  <c r="E9" i="21"/>
  <c r="G9" i="21" s="1"/>
  <c r="D9" i="21"/>
  <c r="C9" i="21"/>
  <c r="E8" i="21"/>
  <c r="G8" i="21" s="1"/>
  <c r="D8" i="21"/>
  <c r="C8" i="21"/>
  <c r="I8" i="21" s="1"/>
  <c r="I7" i="21"/>
  <c r="H7" i="21"/>
  <c r="G7" i="21"/>
  <c r="F7" i="21"/>
  <c r="E7" i="21"/>
  <c r="D7" i="21"/>
  <c r="C7" i="21"/>
  <c r="E6" i="21"/>
  <c r="G6" i="21" s="1"/>
  <c r="D6" i="21"/>
  <c r="D34" i="21" s="1"/>
  <c r="C34" i="21" s="1"/>
  <c r="C6" i="21"/>
  <c r="I6" i="21" s="1"/>
  <c r="I5" i="21"/>
  <c r="E5" i="21"/>
  <c r="G5" i="21" s="1"/>
  <c r="D5" i="21"/>
  <c r="C5" i="21"/>
  <c r="F4" i="21"/>
  <c r="H4" i="21" s="1"/>
  <c r="E4" i="21"/>
  <c r="G4" i="21" s="1"/>
  <c r="D4" i="21"/>
  <c r="D35" i="21" s="1"/>
  <c r="C4" i="21"/>
  <c r="I4" i="21" s="1"/>
  <c r="G21" i="21" l="1"/>
  <c r="G16" i="21"/>
  <c r="I18" i="21"/>
  <c r="I34" i="21" s="1"/>
  <c r="G32" i="21"/>
  <c r="F22" i="21"/>
  <c r="H22" i="21" s="1"/>
  <c r="F12" i="21"/>
  <c r="H12" i="21" s="1"/>
  <c r="F8" i="21"/>
  <c r="H8" i="21" s="1"/>
  <c r="G17" i="21"/>
  <c r="G33" i="21"/>
  <c r="G24" i="21"/>
  <c r="F31" i="21"/>
  <c r="H31" i="21" s="1"/>
  <c r="F6" i="21"/>
  <c r="H6" i="21" s="1"/>
  <c r="G15" i="21"/>
  <c r="G34" i="21" s="1"/>
  <c r="F26" i="21"/>
  <c r="H26" i="21" s="1"/>
  <c r="F11" i="21"/>
  <c r="H11" i="21" s="1"/>
  <c r="F27" i="21"/>
  <c r="H27" i="21" s="1"/>
  <c r="F5" i="21"/>
  <c r="H5" i="21" s="1"/>
  <c r="H34" i="21" s="1"/>
  <c r="F19" i="21"/>
  <c r="H19" i="21" s="1"/>
  <c r="G28" i="21"/>
  <c r="F10" i="21"/>
  <c r="H10" i="21" s="1"/>
  <c r="E33" i="20" l="1"/>
  <c r="F33" i="20" s="1"/>
  <c r="H33" i="20" s="1"/>
  <c r="D33" i="20"/>
  <c r="G32" i="20"/>
  <c r="E32" i="20"/>
  <c r="F32" i="20" s="1"/>
  <c r="H32" i="20" s="1"/>
  <c r="D32" i="20"/>
  <c r="E31" i="20"/>
  <c r="G31" i="20" s="1"/>
  <c r="D31" i="20"/>
  <c r="E30" i="20"/>
  <c r="G30" i="20" s="1"/>
  <c r="D30" i="20"/>
  <c r="E29" i="20"/>
  <c r="F29" i="20" s="1"/>
  <c r="H29" i="20" s="1"/>
  <c r="D29" i="20"/>
  <c r="E28" i="20"/>
  <c r="F28" i="20" s="1"/>
  <c r="H28" i="20" s="1"/>
  <c r="D28" i="20"/>
  <c r="E27" i="20"/>
  <c r="G27" i="20" s="1"/>
  <c r="D27" i="20"/>
  <c r="E26" i="20"/>
  <c r="F26" i="20" s="1"/>
  <c r="H26" i="20" s="1"/>
  <c r="D26" i="20"/>
  <c r="E25" i="20"/>
  <c r="G25" i="20" s="1"/>
  <c r="D25" i="20"/>
  <c r="E24" i="20"/>
  <c r="G24" i="20" s="1"/>
  <c r="D24" i="20"/>
  <c r="G23" i="20"/>
  <c r="F23" i="20"/>
  <c r="H23" i="20" s="1"/>
  <c r="E23" i="20"/>
  <c r="D23" i="20"/>
  <c r="E22" i="20"/>
  <c r="G22" i="20" s="1"/>
  <c r="D22" i="20"/>
  <c r="E21" i="20"/>
  <c r="G21" i="20" s="1"/>
  <c r="D21" i="20"/>
  <c r="E20" i="20"/>
  <c r="G20" i="20" s="1"/>
  <c r="D20" i="20"/>
  <c r="E19" i="20"/>
  <c r="G19" i="20" s="1"/>
  <c r="D19" i="20"/>
  <c r="F18" i="20"/>
  <c r="H18" i="20" s="1"/>
  <c r="E18" i="20"/>
  <c r="G18" i="20" s="1"/>
  <c r="D18" i="20"/>
  <c r="E17" i="20"/>
  <c r="G17" i="20" s="1"/>
  <c r="D17" i="20"/>
  <c r="G16" i="20"/>
  <c r="E16" i="20"/>
  <c r="F16" i="20" s="1"/>
  <c r="H16" i="20" s="1"/>
  <c r="D16" i="20"/>
  <c r="E15" i="20"/>
  <c r="F15" i="20" s="1"/>
  <c r="H15" i="20" s="1"/>
  <c r="D15" i="20"/>
  <c r="E14" i="20"/>
  <c r="G14" i="20" s="1"/>
  <c r="D14" i="20"/>
  <c r="E13" i="20"/>
  <c r="F13" i="20" s="1"/>
  <c r="H13" i="20" s="1"/>
  <c r="D13" i="20"/>
  <c r="E12" i="20"/>
  <c r="G12" i="20" s="1"/>
  <c r="D12" i="20"/>
  <c r="E11" i="20"/>
  <c r="F11" i="20" s="1"/>
  <c r="H11" i="20" s="1"/>
  <c r="D11" i="20"/>
  <c r="G11" i="20" s="1"/>
  <c r="E10" i="20"/>
  <c r="G10" i="20" s="1"/>
  <c r="D10" i="20"/>
  <c r="E9" i="20"/>
  <c r="G9" i="20" s="1"/>
  <c r="D9" i="20"/>
  <c r="E8" i="20"/>
  <c r="G8" i="20" s="1"/>
  <c r="D8" i="20"/>
  <c r="G7" i="20"/>
  <c r="F7" i="20"/>
  <c r="H7" i="20" s="1"/>
  <c r="E7" i="20"/>
  <c r="D7" i="20"/>
  <c r="E6" i="20"/>
  <c r="F6" i="20" s="1"/>
  <c r="H6" i="20" s="1"/>
  <c r="D6" i="20"/>
  <c r="E5" i="20"/>
  <c r="G5" i="20" s="1"/>
  <c r="D5" i="20"/>
  <c r="E4" i="20"/>
  <c r="G4" i="20" s="1"/>
  <c r="D4" i="20"/>
  <c r="D35" i="20" s="1"/>
  <c r="F8" i="20" l="1"/>
  <c r="H8" i="20" s="1"/>
  <c r="G33" i="20"/>
  <c r="F4" i="20"/>
  <c r="H4" i="20" s="1"/>
  <c r="G13" i="20"/>
  <c r="F20" i="20"/>
  <c r="H20" i="20" s="1"/>
  <c r="G29" i="20"/>
  <c r="D34" i="20"/>
  <c r="C34" i="20" s="1"/>
  <c r="F14" i="20"/>
  <c r="H14" i="20" s="1"/>
  <c r="F5" i="20"/>
  <c r="H5" i="20" s="1"/>
  <c r="F21" i="20"/>
  <c r="H21" i="20" s="1"/>
  <c r="F12" i="20"/>
  <c r="H12" i="20" s="1"/>
  <c r="G28" i="20"/>
  <c r="F10" i="20"/>
  <c r="H10" i="20" s="1"/>
  <c r="G26" i="20"/>
  <c r="F24" i="20"/>
  <c r="H24" i="20" s="1"/>
  <c r="G15" i="20"/>
  <c r="G6" i="20"/>
  <c r="G34" i="20" s="1"/>
  <c r="F27" i="20"/>
  <c r="H27" i="20" s="1"/>
  <c r="F30" i="20"/>
  <c r="H30" i="20" s="1"/>
  <c r="F19" i="20"/>
  <c r="H19" i="20" s="1"/>
  <c r="F31" i="20"/>
  <c r="H31" i="20" s="1"/>
  <c r="F22" i="20"/>
  <c r="H22" i="20" s="1"/>
  <c r="F9" i="20"/>
  <c r="H9" i="20" s="1"/>
  <c r="F25" i="20"/>
  <c r="H25" i="20" s="1"/>
  <c r="F17" i="20"/>
  <c r="H17" i="20" s="1"/>
  <c r="H34" i="20" l="1"/>
  <c r="C21" i="20" l="1"/>
  <c r="I21" i="20" s="1"/>
  <c r="C26" i="20" l="1"/>
  <c r="I26" i="20" s="1"/>
  <c r="C8" i="20"/>
  <c r="I8" i="20" s="1"/>
  <c r="C9" i="20"/>
  <c r="I9" i="20" s="1"/>
  <c r="C13" i="20"/>
  <c r="I13" i="20" s="1"/>
  <c r="C7" i="20"/>
  <c r="I7" i="20" s="1"/>
  <c r="C23" i="20"/>
  <c r="I23" i="20" s="1"/>
  <c r="C10" i="20"/>
  <c r="I10" i="20" s="1"/>
  <c r="C11" i="20"/>
  <c r="I11" i="20" s="1"/>
  <c r="C27" i="20"/>
  <c r="I27" i="20" s="1"/>
  <c r="C12" i="20"/>
  <c r="I12" i="20" s="1"/>
  <c r="C6" i="20"/>
  <c r="I6" i="20" s="1"/>
  <c r="C24" i="20"/>
  <c r="I24" i="20" s="1"/>
  <c r="C25" i="20"/>
  <c r="I25" i="20" s="1"/>
  <c r="C33" i="20" l="1"/>
  <c r="I33" i="20" s="1"/>
  <c r="C18" i="20"/>
  <c r="I18" i="20" s="1"/>
  <c r="C29" i="20"/>
  <c r="I29" i="20" s="1"/>
  <c r="C15" i="20"/>
  <c r="I15" i="20" s="1"/>
  <c r="C22" i="20"/>
  <c r="I22" i="20" s="1"/>
  <c r="C28" i="20"/>
  <c r="I28" i="20" s="1"/>
  <c r="C31" i="20"/>
  <c r="I31" i="20" s="1"/>
  <c r="C4" i="20"/>
  <c r="I4" i="20" s="1"/>
  <c r="C19" i="20"/>
  <c r="I19" i="20" s="1"/>
  <c r="C20" i="20"/>
  <c r="I20" i="20" s="1"/>
  <c r="C14" i="20"/>
  <c r="I14" i="20" s="1"/>
  <c r="C5" i="20"/>
  <c r="I5" i="20" s="1"/>
  <c r="C32" i="20"/>
  <c r="I32" i="20" s="1"/>
  <c r="C16" i="20"/>
  <c r="I16" i="20" s="1"/>
  <c r="C17" i="20"/>
  <c r="I17" i="20" s="1"/>
  <c r="C30" i="20"/>
  <c r="I30" i="20" s="1"/>
  <c r="I34" i="20" l="1"/>
  <c r="E33" i="19" l="1"/>
  <c r="G33" i="19" s="1"/>
  <c r="D33" i="19"/>
  <c r="E32" i="19"/>
  <c r="D32" i="19"/>
  <c r="E31" i="19"/>
  <c r="G31" i="19" s="1"/>
  <c r="D31" i="19"/>
  <c r="E30" i="19"/>
  <c r="D30" i="19"/>
  <c r="H29" i="19"/>
  <c r="G29" i="19"/>
  <c r="E29" i="19"/>
  <c r="F29" i="19" s="1"/>
  <c r="D29" i="19"/>
  <c r="E28" i="19"/>
  <c r="G28" i="19" s="1"/>
  <c r="D28" i="19"/>
  <c r="E27" i="19"/>
  <c r="G27" i="19" s="1"/>
  <c r="D27" i="19"/>
  <c r="E26" i="19"/>
  <c r="G26" i="19" s="1"/>
  <c r="D26" i="19"/>
  <c r="E25" i="19"/>
  <c r="G25" i="19" s="1"/>
  <c r="D25" i="19"/>
  <c r="E24" i="19"/>
  <c r="G24" i="19" s="1"/>
  <c r="D24" i="19"/>
  <c r="E23" i="19"/>
  <c r="D23" i="19"/>
  <c r="E22" i="19"/>
  <c r="G22" i="19" s="1"/>
  <c r="D22" i="19"/>
  <c r="E21" i="19"/>
  <c r="G21" i="19" s="1"/>
  <c r="D21" i="19"/>
  <c r="G20" i="19"/>
  <c r="F20" i="19"/>
  <c r="H20" i="19" s="1"/>
  <c r="E20" i="19"/>
  <c r="D20" i="19"/>
  <c r="E19" i="19"/>
  <c r="G19" i="19" s="1"/>
  <c r="D19" i="19"/>
  <c r="E18" i="19"/>
  <c r="F18" i="19" s="1"/>
  <c r="H18" i="19" s="1"/>
  <c r="D18" i="19"/>
  <c r="E17" i="19"/>
  <c r="G17" i="19" s="1"/>
  <c r="D17" i="19"/>
  <c r="E16" i="19"/>
  <c r="D16" i="19"/>
  <c r="E15" i="19"/>
  <c r="G15" i="19" s="1"/>
  <c r="D15" i="19"/>
  <c r="E14" i="19"/>
  <c r="G14" i="19" s="1"/>
  <c r="D14" i="19"/>
  <c r="G13" i="19"/>
  <c r="E13" i="19"/>
  <c r="F13" i="19" s="1"/>
  <c r="H13" i="19" s="1"/>
  <c r="D13" i="19"/>
  <c r="E12" i="19"/>
  <c r="G12" i="19" s="1"/>
  <c r="D12" i="19"/>
  <c r="E11" i="19"/>
  <c r="G11" i="19" s="1"/>
  <c r="D11" i="19"/>
  <c r="E10" i="19"/>
  <c r="G10" i="19" s="1"/>
  <c r="D10" i="19"/>
  <c r="E9" i="19"/>
  <c r="F9" i="19" s="1"/>
  <c r="H9" i="19" s="1"/>
  <c r="D9" i="19"/>
  <c r="E8" i="19"/>
  <c r="G8" i="19" s="1"/>
  <c r="D8" i="19"/>
  <c r="E7" i="19"/>
  <c r="D7" i="19"/>
  <c r="D34" i="19" s="1"/>
  <c r="C34" i="19" s="1"/>
  <c r="E6" i="19"/>
  <c r="G6" i="19" s="1"/>
  <c r="D6" i="19"/>
  <c r="E5" i="19"/>
  <c r="G5" i="19" s="1"/>
  <c r="D5" i="19"/>
  <c r="G4" i="19"/>
  <c r="F4" i="19"/>
  <c r="H4" i="19" s="1"/>
  <c r="E4" i="19"/>
  <c r="D4" i="19"/>
  <c r="G23" i="19" l="1"/>
  <c r="F23" i="19"/>
  <c r="H23" i="19" s="1"/>
  <c r="G9" i="19"/>
  <c r="G34" i="19" s="1"/>
  <c r="G32" i="19"/>
  <c r="F32" i="19"/>
  <c r="H32" i="19" s="1"/>
  <c r="F25" i="19"/>
  <c r="H25" i="19" s="1"/>
  <c r="G30" i="19"/>
  <c r="F27" i="19"/>
  <c r="H27" i="19" s="1"/>
  <c r="G16" i="19"/>
  <c r="F16" i="19"/>
  <c r="H16" i="19" s="1"/>
  <c r="G18" i="19"/>
  <c r="D35" i="19"/>
  <c r="F11" i="19"/>
  <c r="H11" i="19" s="1"/>
  <c r="G7" i="19"/>
  <c r="F7" i="19"/>
  <c r="H7" i="19" s="1"/>
  <c r="F14" i="19"/>
  <c r="H14" i="19" s="1"/>
  <c r="F30" i="19"/>
  <c r="H30" i="19" s="1"/>
  <c r="F5" i="19"/>
  <c r="H5" i="19" s="1"/>
  <c r="H34" i="19" s="1"/>
  <c r="F21" i="19"/>
  <c r="H21" i="19" s="1"/>
  <c r="F12" i="19"/>
  <c r="H12" i="19" s="1"/>
  <c r="F28" i="19"/>
  <c r="H28" i="19" s="1"/>
  <c r="F19" i="19"/>
  <c r="H19" i="19" s="1"/>
  <c r="F10" i="19"/>
  <c r="H10" i="19" s="1"/>
  <c r="F26" i="19"/>
  <c r="H26" i="19" s="1"/>
  <c r="F17" i="19"/>
  <c r="H17" i="19" s="1"/>
  <c r="F33" i="19"/>
  <c r="H33" i="19" s="1"/>
  <c r="F8" i="19"/>
  <c r="H8" i="19" s="1"/>
  <c r="F24" i="19"/>
  <c r="H24" i="19" s="1"/>
  <c r="F15" i="19"/>
  <c r="H15" i="19" s="1"/>
  <c r="F31" i="19"/>
  <c r="H31" i="19" s="1"/>
  <c r="F6" i="19"/>
  <c r="H6" i="19" s="1"/>
  <c r="F22" i="19"/>
  <c r="H22" i="19" s="1"/>
  <c r="C21" i="19" l="1"/>
  <c r="I21" i="19" s="1"/>
  <c r="C10" i="19" l="1"/>
  <c r="I10" i="19" s="1"/>
  <c r="C6" i="19"/>
  <c r="I6" i="19" s="1"/>
  <c r="C27" i="19"/>
  <c r="I27" i="19" s="1"/>
  <c r="C11" i="19"/>
  <c r="I11" i="19" s="1"/>
  <c r="C23" i="19"/>
  <c r="I23" i="19" s="1"/>
  <c r="C26" i="19"/>
  <c r="I26" i="19" s="1"/>
  <c r="C8" i="19"/>
  <c r="I8" i="19" s="1"/>
  <c r="C9" i="19"/>
  <c r="I9" i="19" s="1"/>
  <c r="C13" i="19"/>
  <c r="I13" i="19" s="1"/>
  <c r="C12" i="19"/>
  <c r="I12" i="19" s="1"/>
  <c r="C7" i="19"/>
  <c r="I7" i="19" s="1"/>
  <c r="C24" i="19"/>
  <c r="I24" i="19" s="1"/>
  <c r="C25" i="19"/>
  <c r="I25" i="19" s="1"/>
  <c r="C33" i="19" l="1"/>
  <c r="I33" i="19" s="1"/>
  <c r="C4" i="19"/>
  <c r="I4" i="19" s="1"/>
  <c r="C19" i="19"/>
  <c r="I19" i="19" s="1"/>
  <c r="C29" i="19"/>
  <c r="I29" i="19" s="1"/>
  <c r="C31" i="19"/>
  <c r="I31" i="19" s="1"/>
  <c r="C14" i="19"/>
  <c r="I14" i="19" s="1"/>
  <c r="C15" i="19"/>
  <c r="I15" i="19" s="1"/>
  <c r="C20" i="19"/>
  <c r="I20" i="19" s="1"/>
  <c r="C32" i="19"/>
  <c r="I32" i="19" s="1"/>
  <c r="C18" i="19"/>
  <c r="I18" i="19" s="1"/>
  <c r="C28" i="19"/>
  <c r="I28" i="19" s="1"/>
  <c r="C22" i="19"/>
  <c r="I22" i="19" s="1"/>
  <c r="C16" i="19"/>
  <c r="I16" i="19" s="1"/>
  <c r="C5" i="19"/>
  <c r="I5" i="19" s="1"/>
  <c r="C17" i="19"/>
  <c r="I17" i="19" s="1"/>
  <c r="C30" i="19"/>
  <c r="I30" i="19" s="1"/>
  <c r="I34" i="19" s="1"/>
  <c r="E33" i="18" l="1"/>
  <c r="G33" i="18" s="1"/>
  <c r="D33" i="18"/>
  <c r="G32" i="18"/>
  <c r="E32" i="18"/>
  <c r="F32" i="18" s="1"/>
  <c r="H32" i="18" s="1"/>
  <c r="D32" i="18"/>
  <c r="E31" i="18"/>
  <c r="G31" i="18" s="1"/>
  <c r="D31" i="18"/>
  <c r="E30" i="18"/>
  <c r="F30" i="18" s="1"/>
  <c r="H30" i="18" s="1"/>
  <c r="D30" i="18"/>
  <c r="E29" i="18"/>
  <c r="G29" i="18" s="1"/>
  <c r="D29" i="18"/>
  <c r="E28" i="18"/>
  <c r="G28" i="18" s="1"/>
  <c r="D28" i="18"/>
  <c r="E27" i="18"/>
  <c r="F27" i="18" s="1"/>
  <c r="H27" i="18" s="1"/>
  <c r="D27" i="18"/>
  <c r="E26" i="18"/>
  <c r="G26" i="18" s="1"/>
  <c r="D26" i="18"/>
  <c r="H25" i="18"/>
  <c r="F25" i="18"/>
  <c r="E25" i="18"/>
  <c r="G25" i="18" s="1"/>
  <c r="D25" i="18"/>
  <c r="E24" i="18"/>
  <c r="G24" i="18" s="1"/>
  <c r="D24" i="18"/>
  <c r="G23" i="18"/>
  <c r="F23" i="18"/>
  <c r="H23" i="18" s="1"/>
  <c r="E23" i="18"/>
  <c r="D23" i="18"/>
  <c r="E22" i="18"/>
  <c r="G22" i="18" s="1"/>
  <c r="D22" i="18"/>
  <c r="E21" i="18"/>
  <c r="G21" i="18" s="1"/>
  <c r="D21" i="18"/>
  <c r="E20" i="18"/>
  <c r="G20" i="18" s="1"/>
  <c r="D20" i="18"/>
  <c r="E19" i="18"/>
  <c r="G19" i="18" s="1"/>
  <c r="D19" i="18"/>
  <c r="E18" i="18"/>
  <c r="G18" i="18" s="1"/>
  <c r="D18" i="18"/>
  <c r="E17" i="18"/>
  <c r="G17" i="18" s="1"/>
  <c r="D17" i="18"/>
  <c r="G16" i="18"/>
  <c r="E16" i="18"/>
  <c r="F16" i="18" s="1"/>
  <c r="H16" i="18" s="1"/>
  <c r="D16" i="18"/>
  <c r="E15" i="18"/>
  <c r="G15" i="18" s="1"/>
  <c r="D15" i="18"/>
  <c r="E14" i="18"/>
  <c r="F14" i="18" s="1"/>
  <c r="H14" i="18" s="1"/>
  <c r="D14" i="18"/>
  <c r="E13" i="18"/>
  <c r="G13" i="18" s="1"/>
  <c r="D13" i="18"/>
  <c r="E12" i="18"/>
  <c r="G12" i="18" s="1"/>
  <c r="D12" i="18"/>
  <c r="E11" i="18"/>
  <c r="F11" i="18" s="1"/>
  <c r="H11" i="18" s="1"/>
  <c r="D11" i="18"/>
  <c r="E10" i="18"/>
  <c r="G10" i="18" s="1"/>
  <c r="D10" i="18"/>
  <c r="E9" i="18"/>
  <c r="G9" i="18" s="1"/>
  <c r="D9" i="18"/>
  <c r="E8" i="18"/>
  <c r="G8" i="18" s="1"/>
  <c r="D8" i="18"/>
  <c r="G7" i="18"/>
  <c r="F7" i="18"/>
  <c r="H7" i="18" s="1"/>
  <c r="E7" i="18"/>
  <c r="D7" i="18"/>
  <c r="E6" i="18"/>
  <c r="F6" i="18" s="1"/>
  <c r="H6" i="18" s="1"/>
  <c r="D6" i="18"/>
  <c r="E5" i="18"/>
  <c r="G5" i="18" s="1"/>
  <c r="D5" i="18"/>
  <c r="E4" i="18"/>
  <c r="G4" i="18" s="1"/>
  <c r="D4" i="18"/>
  <c r="D35" i="18" s="1"/>
  <c r="F5" i="18" l="1"/>
  <c r="H5" i="18" s="1"/>
  <c r="G14" i="18"/>
  <c r="F21" i="18"/>
  <c r="H21" i="18" s="1"/>
  <c r="G30" i="18"/>
  <c r="F28" i="18"/>
  <c r="H28" i="18" s="1"/>
  <c r="F19" i="18"/>
  <c r="H19" i="18" s="1"/>
  <c r="F26" i="18"/>
  <c r="H26" i="18" s="1"/>
  <c r="G11" i="18"/>
  <c r="F18" i="18"/>
  <c r="H18" i="18" s="1"/>
  <c r="G27" i="18"/>
  <c r="F12" i="18"/>
  <c r="H12" i="18" s="1"/>
  <c r="F10" i="18"/>
  <c r="H10" i="18" s="1"/>
  <c r="F17" i="18"/>
  <c r="H17" i="18" s="1"/>
  <c r="F33" i="18"/>
  <c r="H33" i="18" s="1"/>
  <c r="F8" i="18"/>
  <c r="H8" i="18" s="1"/>
  <c r="F24" i="18"/>
  <c r="H24" i="18" s="1"/>
  <c r="F31" i="18"/>
  <c r="H31" i="18" s="1"/>
  <c r="G6" i="18"/>
  <c r="G34" i="18" s="1"/>
  <c r="F4" i="18"/>
  <c r="H4" i="18" s="1"/>
  <c r="F9" i="18"/>
  <c r="H9" i="18" s="1"/>
  <c r="F15" i="18"/>
  <c r="H15" i="18" s="1"/>
  <c r="F22" i="18"/>
  <c r="H22" i="18" s="1"/>
  <c r="F13" i="18"/>
  <c r="H13" i="18" s="1"/>
  <c r="F29" i="18"/>
  <c r="H29" i="18" s="1"/>
  <c r="F20" i="18"/>
  <c r="H20" i="18" s="1"/>
  <c r="D34" i="18"/>
  <c r="C34" i="18" s="1"/>
  <c r="H34" i="18" l="1"/>
  <c r="C21" i="18" l="1"/>
  <c r="I21" i="18" s="1"/>
  <c r="C26" i="18" l="1"/>
  <c r="I26" i="18" s="1"/>
  <c r="C10" i="18"/>
  <c r="I10" i="18" s="1"/>
  <c r="C13" i="18"/>
  <c r="I13" i="18" s="1"/>
  <c r="C6" i="18"/>
  <c r="I6" i="18" s="1"/>
  <c r="C27" i="18"/>
  <c r="I27" i="18" s="1"/>
  <c r="C24" i="18"/>
  <c r="I24" i="18" s="1"/>
  <c r="C8" i="18"/>
  <c r="I8" i="18" s="1"/>
  <c r="C9" i="18"/>
  <c r="I9" i="18" s="1"/>
  <c r="C23" i="18"/>
  <c r="I23" i="18" s="1"/>
  <c r="C11" i="18"/>
  <c r="I11" i="18" s="1"/>
  <c r="C12" i="18"/>
  <c r="I12" i="18" s="1"/>
  <c r="C7" i="18"/>
  <c r="I7" i="18" s="1"/>
  <c r="C25" i="18"/>
  <c r="I25" i="18" s="1"/>
  <c r="C19" i="18" l="1"/>
  <c r="I19" i="18" s="1"/>
  <c r="C31" i="18"/>
  <c r="I31" i="18" s="1"/>
  <c r="C28" i="18"/>
  <c r="I28" i="18" s="1"/>
  <c r="C18" i="18"/>
  <c r="I18" i="18" s="1"/>
  <c r="C4" i="18"/>
  <c r="I4" i="18" s="1"/>
  <c r="C32" i="18"/>
  <c r="I32" i="18" s="1"/>
  <c r="C15" i="18"/>
  <c r="I15" i="18" s="1"/>
  <c r="C20" i="18"/>
  <c r="I20" i="18" s="1"/>
  <c r="C16" i="18"/>
  <c r="I16" i="18" s="1"/>
  <c r="C5" i="18"/>
  <c r="I5" i="18" s="1"/>
  <c r="C33" i="18"/>
  <c r="I33" i="18" s="1"/>
  <c r="C29" i="18"/>
  <c r="I29" i="18" s="1"/>
  <c r="C22" i="18"/>
  <c r="I22" i="18" s="1"/>
  <c r="C14" i="18"/>
  <c r="I14" i="18" s="1"/>
  <c r="C17" i="18"/>
  <c r="I17" i="18" s="1"/>
  <c r="C30" i="18"/>
  <c r="I30" i="18" s="1"/>
  <c r="I34" i="18" l="1"/>
  <c r="E33" i="17" l="1"/>
  <c r="G33" i="17" s="1"/>
  <c r="D33" i="17"/>
  <c r="H32" i="17"/>
  <c r="G32" i="17"/>
  <c r="F32" i="17"/>
  <c r="E32" i="17"/>
  <c r="D32" i="17"/>
  <c r="E31" i="17"/>
  <c r="G31" i="17" s="1"/>
  <c r="D31" i="17"/>
  <c r="E30" i="17"/>
  <c r="G30" i="17" s="1"/>
  <c r="D30" i="17"/>
  <c r="E29" i="17"/>
  <c r="G29" i="17" s="1"/>
  <c r="D29" i="17"/>
  <c r="E28" i="17"/>
  <c r="G28" i="17" s="1"/>
  <c r="D28" i="17"/>
  <c r="F27" i="17"/>
  <c r="H27" i="17" s="1"/>
  <c r="E27" i="17"/>
  <c r="D27" i="17"/>
  <c r="G27" i="17" s="1"/>
  <c r="E26" i="17"/>
  <c r="F26" i="17" s="1"/>
  <c r="H26" i="17" s="1"/>
  <c r="D26" i="17"/>
  <c r="E25" i="17"/>
  <c r="G25" i="17" s="1"/>
  <c r="D25" i="17"/>
  <c r="E24" i="17"/>
  <c r="G24" i="17" s="1"/>
  <c r="D24" i="17"/>
  <c r="G23" i="17"/>
  <c r="F23" i="17"/>
  <c r="H23" i="17" s="1"/>
  <c r="E23" i="17"/>
  <c r="D23" i="17"/>
  <c r="E22" i="17"/>
  <c r="G22" i="17" s="1"/>
  <c r="D22" i="17"/>
  <c r="E21" i="17"/>
  <c r="G21" i="17" s="1"/>
  <c r="D21" i="17"/>
  <c r="E20" i="17"/>
  <c r="F20" i="17" s="1"/>
  <c r="H20" i="17" s="1"/>
  <c r="D20" i="17"/>
  <c r="G20" i="17" s="1"/>
  <c r="E19" i="17"/>
  <c r="G19" i="17" s="1"/>
  <c r="D19" i="17"/>
  <c r="E18" i="17"/>
  <c r="G18" i="17" s="1"/>
  <c r="D18" i="17"/>
  <c r="E17" i="17"/>
  <c r="F17" i="17" s="1"/>
  <c r="H17" i="17" s="1"/>
  <c r="D17" i="17"/>
  <c r="H16" i="17"/>
  <c r="G16" i="17"/>
  <c r="F16" i="17"/>
  <c r="E16" i="17"/>
  <c r="D16" i="17"/>
  <c r="E15" i="17"/>
  <c r="G15" i="17" s="1"/>
  <c r="D15" i="17"/>
  <c r="E14" i="17"/>
  <c r="G14" i="17" s="1"/>
  <c r="D14" i="17"/>
  <c r="E13" i="17"/>
  <c r="G13" i="17" s="1"/>
  <c r="D13" i="17"/>
  <c r="E12" i="17"/>
  <c r="G12" i="17" s="1"/>
  <c r="D12" i="17"/>
  <c r="F11" i="17"/>
  <c r="H11" i="17" s="1"/>
  <c r="E11" i="17"/>
  <c r="D11" i="17"/>
  <c r="G11" i="17" s="1"/>
  <c r="E10" i="17"/>
  <c r="G10" i="17" s="1"/>
  <c r="D10" i="17"/>
  <c r="E9" i="17"/>
  <c r="G9" i="17" s="1"/>
  <c r="D9" i="17"/>
  <c r="E8" i="17"/>
  <c r="G8" i="17" s="1"/>
  <c r="D8" i="17"/>
  <c r="G7" i="17"/>
  <c r="F7" i="17"/>
  <c r="H7" i="17" s="1"/>
  <c r="E7" i="17"/>
  <c r="D7" i="17"/>
  <c r="E6" i="17"/>
  <c r="G6" i="17" s="1"/>
  <c r="D6" i="17"/>
  <c r="E5" i="17"/>
  <c r="G5" i="17" s="1"/>
  <c r="D5" i="17"/>
  <c r="E4" i="17"/>
  <c r="F4" i="17" s="1"/>
  <c r="H4" i="17" s="1"/>
  <c r="D4" i="17"/>
  <c r="D35" i="17" s="1"/>
  <c r="F14" i="17" l="1"/>
  <c r="H14" i="17" s="1"/>
  <c r="F5" i="17"/>
  <c r="H5" i="17" s="1"/>
  <c r="H34" i="17" s="1"/>
  <c r="F21" i="17"/>
  <c r="H21" i="17" s="1"/>
  <c r="F12" i="17"/>
  <c r="H12" i="17" s="1"/>
  <c r="F28" i="17"/>
  <c r="H28" i="17" s="1"/>
  <c r="F19" i="17"/>
  <c r="H19" i="17" s="1"/>
  <c r="F10" i="17"/>
  <c r="H10" i="17" s="1"/>
  <c r="F33" i="17"/>
  <c r="H33" i="17" s="1"/>
  <c r="F8" i="17"/>
  <c r="H8" i="17" s="1"/>
  <c r="G17" i="17"/>
  <c r="F24" i="17"/>
  <c r="H24" i="17" s="1"/>
  <c r="F31" i="17"/>
  <c r="H31" i="17" s="1"/>
  <c r="F6" i="17"/>
  <c r="H6" i="17" s="1"/>
  <c r="F22" i="17"/>
  <c r="H22" i="17" s="1"/>
  <c r="F13" i="17"/>
  <c r="H13" i="17" s="1"/>
  <c r="F29" i="17"/>
  <c r="H29" i="17" s="1"/>
  <c r="D34" i="17"/>
  <c r="C34" i="17" s="1"/>
  <c r="F30" i="17"/>
  <c r="H30" i="17" s="1"/>
  <c r="G26" i="17"/>
  <c r="F15" i="17"/>
  <c r="H15" i="17" s="1"/>
  <c r="F18" i="17"/>
  <c r="H18" i="17" s="1"/>
  <c r="F9" i="17"/>
  <c r="H9" i="17" s="1"/>
  <c r="F25" i="17"/>
  <c r="H25" i="17" s="1"/>
  <c r="G4" i="17"/>
  <c r="G34" i="17" l="1"/>
  <c r="C21" i="17" l="1"/>
  <c r="I21" i="17" s="1"/>
  <c r="C10" i="17" l="1"/>
  <c r="I10" i="17" s="1"/>
  <c r="C27" i="17"/>
  <c r="I27" i="17" s="1"/>
  <c r="C6" i="17"/>
  <c r="I6" i="17" s="1"/>
  <c r="C9" i="17"/>
  <c r="I9" i="17" s="1"/>
  <c r="C24" i="17"/>
  <c r="I24" i="17" s="1"/>
  <c r="C13" i="17"/>
  <c r="I13" i="17" s="1"/>
  <c r="C11" i="17"/>
  <c r="I11" i="17" s="1"/>
  <c r="C12" i="17"/>
  <c r="I12" i="17" s="1"/>
  <c r="C7" i="17"/>
  <c r="I7" i="17" s="1"/>
  <c r="C23" i="17"/>
  <c r="I23" i="17" s="1"/>
  <c r="C26" i="17"/>
  <c r="I26" i="17" s="1"/>
  <c r="C8" i="17"/>
  <c r="I8" i="17" s="1"/>
  <c r="C25" i="17"/>
  <c r="I25" i="17" s="1"/>
  <c r="C33" i="17" l="1"/>
  <c r="I33" i="17" s="1"/>
  <c r="C28" i="17"/>
  <c r="I28" i="17" s="1"/>
  <c r="C18" i="17"/>
  <c r="I18" i="17" s="1"/>
  <c r="C19" i="17"/>
  <c r="I19" i="17" s="1"/>
  <c r="C15" i="17"/>
  <c r="I15" i="17" s="1"/>
  <c r="C5" i="17"/>
  <c r="I5" i="17" s="1"/>
  <c r="C29" i="17"/>
  <c r="I29" i="17" s="1"/>
  <c r="C4" i="17"/>
  <c r="I4" i="17" s="1"/>
  <c r="C31" i="17"/>
  <c r="I31" i="17" s="1"/>
  <c r="C20" i="17"/>
  <c r="I20" i="17" s="1"/>
  <c r="C32" i="17"/>
  <c r="I32" i="17" s="1"/>
  <c r="C14" i="17"/>
  <c r="I14" i="17" s="1"/>
  <c r="C22" i="17"/>
  <c r="I22" i="17" s="1"/>
  <c r="C16" i="17"/>
  <c r="I16" i="17" s="1"/>
  <c r="C17" i="17"/>
  <c r="I17" i="17" s="1"/>
  <c r="C30" i="17"/>
  <c r="I30" i="17" s="1"/>
  <c r="I34" i="17" l="1"/>
  <c r="E33" i="16" l="1"/>
  <c r="G33" i="16" s="1"/>
  <c r="D33" i="16"/>
  <c r="G32" i="16"/>
  <c r="E32" i="16"/>
  <c r="F32" i="16" s="1"/>
  <c r="H32" i="16" s="1"/>
  <c r="D32" i="16"/>
  <c r="E31" i="16"/>
  <c r="G31" i="16" s="1"/>
  <c r="D31" i="16"/>
  <c r="E30" i="16"/>
  <c r="G30" i="16" s="1"/>
  <c r="D30" i="16"/>
  <c r="G29" i="16"/>
  <c r="F29" i="16"/>
  <c r="H29" i="16" s="1"/>
  <c r="E29" i="16"/>
  <c r="D29" i="16"/>
  <c r="E28" i="16"/>
  <c r="G28" i="16" s="1"/>
  <c r="D28" i="16"/>
  <c r="E27" i="16"/>
  <c r="G27" i="16" s="1"/>
  <c r="D27" i="16"/>
  <c r="E26" i="16"/>
  <c r="G26" i="16" s="1"/>
  <c r="D26" i="16"/>
  <c r="E25" i="16"/>
  <c r="G25" i="16" s="1"/>
  <c r="D25" i="16"/>
  <c r="E24" i="16"/>
  <c r="G24" i="16" s="1"/>
  <c r="D24" i="16"/>
  <c r="G23" i="16"/>
  <c r="F23" i="16"/>
  <c r="H23" i="16" s="1"/>
  <c r="E23" i="16"/>
  <c r="D23" i="16"/>
  <c r="G22" i="16"/>
  <c r="E22" i="16"/>
  <c r="F22" i="16" s="1"/>
  <c r="H22" i="16" s="1"/>
  <c r="D22" i="16"/>
  <c r="E21" i="16"/>
  <c r="F21" i="16" s="1"/>
  <c r="H21" i="16" s="1"/>
  <c r="D21" i="16"/>
  <c r="E20" i="16"/>
  <c r="G20" i="16" s="1"/>
  <c r="D20" i="16"/>
  <c r="E19" i="16"/>
  <c r="G19" i="16" s="1"/>
  <c r="D19" i="16"/>
  <c r="E18" i="16"/>
  <c r="G18" i="16" s="1"/>
  <c r="D18" i="16"/>
  <c r="E17" i="16"/>
  <c r="G17" i="16" s="1"/>
  <c r="D17" i="16"/>
  <c r="G16" i="16"/>
  <c r="E16" i="16"/>
  <c r="F16" i="16" s="1"/>
  <c r="H16" i="16" s="1"/>
  <c r="D16" i="16"/>
  <c r="E15" i="16"/>
  <c r="G15" i="16" s="1"/>
  <c r="D15" i="16"/>
  <c r="E14" i="16"/>
  <c r="G14" i="16" s="1"/>
  <c r="D14" i="16"/>
  <c r="G13" i="16"/>
  <c r="F13" i="16"/>
  <c r="H13" i="16" s="1"/>
  <c r="E13" i="16"/>
  <c r="D13" i="16"/>
  <c r="E12" i="16"/>
  <c r="G12" i="16" s="1"/>
  <c r="D12" i="16"/>
  <c r="E11" i="16"/>
  <c r="G11" i="16" s="1"/>
  <c r="D11" i="16"/>
  <c r="E10" i="16"/>
  <c r="G10" i="16" s="1"/>
  <c r="D10" i="16"/>
  <c r="E9" i="16"/>
  <c r="G9" i="16" s="1"/>
  <c r="D9" i="16"/>
  <c r="E8" i="16"/>
  <c r="G8" i="16" s="1"/>
  <c r="D8" i="16"/>
  <c r="G7" i="16"/>
  <c r="F7" i="16"/>
  <c r="H7" i="16" s="1"/>
  <c r="E7" i="16"/>
  <c r="D7" i="16"/>
  <c r="G6" i="16"/>
  <c r="E6" i="16"/>
  <c r="F6" i="16" s="1"/>
  <c r="H6" i="16" s="1"/>
  <c r="D6" i="16"/>
  <c r="E5" i="16"/>
  <c r="F5" i="16" s="1"/>
  <c r="H5" i="16" s="1"/>
  <c r="D5" i="16"/>
  <c r="D34" i="16" s="1"/>
  <c r="C34" i="16" s="1"/>
  <c r="E4" i="16"/>
  <c r="G4" i="16" s="1"/>
  <c r="D4" i="16"/>
  <c r="D35" i="16" s="1"/>
  <c r="F14" i="16" l="1"/>
  <c r="H14" i="16" s="1"/>
  <c r="G5" i="16"/>
  <c r="G34" i="16" s="1"/>
  <c r="F12" i="16"/>
  <c r="H12" i="16" s="1"/>
  <c r="G21" i="16"/>
  <c r="F28" i="16"/>
  <c r="H28" i="16" s="1"/>
  <c r="F19" i="16"/>
  <c r="H19" i="16" s="1"/>
  <c r="F10" i="16"/>
  <c r="H10" i="16" s="1"/>
  <c r="F26" i="16"/>
  <c r="H26" i="16" s="1"/>
  <c r="F17" i="16"/>
  <c r="H17" i="16" s="1"/>
  <c r="F33" i="16"/>
  <c r="H33" i="16" s="1"/>
  <c r="F8" i="16"/>
  <c r="H8" i="16" s="1"/>
  <c r="F24" i="16"/>
  <c r="H24" i="16" s="1"/>
  <c r="F15" i="16"/>
  <c r="H15" i="16" s="1"/>
  <c r="F31" i="16"/>
  <c r="H31" i="16" s="1"/>
  <c r="F30" i="16"/>
  <c r="H30" i="16" s="1"/>
  <c r="F4" i="16"/>
  <c r="H4" i="16" s="1"/>
  <c r="F20" i="16"/>
  <c r="H20" i="16" s="1"/>
  <c r="F11" i="16"/>
  <c r="H11" i="16" s="1"/>
  <c r="F27" i="16"/>
  <c r="H27" i="16" s="1"/>
  <c r="F18" i="16"/>
  <c r="H18" i="16" s="1"/>
  <c r="F9" i="16"/>
  <c r="H9" i="16" s="1"/>
  <c r="F25" i="16"/>
  <c r="H25" i="16" s="1"/>
  <c r="H34" i="16" l="1"/>
  <c r="C21" i="16" l="1"/>
  <c r="I21" i="16" s="1"/>
  <c r="C26" i="16" l="1"/>
  <c r="I26" i="16" s="1"/>
  <c r="C11" i="16"/>
  <c r="I11" i="16" s="1"/>
  <c r="C13" i="16"/>
  <c r="I13" i="16" s="1"/>
  <c r="C12" i="16"/>
  <c r="I12" i="16" s="1"/>
  <c r="C7" i="16"/>
  <c r="I7" i="16" s="1"/>
  <c r="C23" i="16"/>
  <c r="I23" i="16" s="1"/>
  <c r="C8" i="16"/>
  <c r="I8" i="16" s="1"/>
  <c r="C9" i="16"/>
  <c r="I9" i="16" s="1"/>
  <c r="C10" i="16"/>
  <c r="I10" i="16" s="1"/>
  <c r="C27" i="16"/>
  <c r="I27" i="16" s="1"/>
  <c r="C6" i="16"/>
  <c r="I6" i="16" s="1"/>
  <c r="C24" i="16"/>
  <c r="I24" i="16" s="1"/>
  <c r="C25" i="16"/>
  <c r="I25" i="16" s="1"/>
  <c r="C33" i="16" l="1"/>
  <c r="I33" i="16" s="1"/>
  <c r="C29" i="16"/>
  <c r="I29" i="16" s="1"/>
  <c r="C22" i="16"/>
  <c r="I22" i="16" s="1"/>
  <c r="C18" i="16"/>
  <c r="I18" i="16" s="1"/>
  <c r="C31" i="16"/>
  <c r="I31" i="16" s="1"/>
  <c r="C20" i="16"/>
  <c r="I20" i="16" s="1"/>
  <c r="C32" i="16"/>
  <c r="I32" i="16" s="1"/>
  <c r="C14" i="16"/>
  <c r="I14" i="16" s="1"/>
  <c r="C19" i="16"/>
  <c r="I19" i="16" s="1"/>
  <c r="C15" i="16"/>
  <c r="I15" i="16" s="1"/>
  <c r="C16" i="16"/>
  <c r="I16" i="16" s="1"/>
  <c r="C5" i="16"/>
  <c r="I5" i="16" s="1"/>
  <c r="C28" i="16"/>
  <c r="I28" i="16" s="1"/>
  <c r="C4" i="16"/>
  <c r="I4" i="16" s="1"/>
  <c r="C17" i="16"/>
  <c r="I17" i="16" s="1"/>
  <c r="C30" i="16"/>
  <c r="I30" i="16" s="1"/>
  <c r="I34" i="16" l="1"/>
  <c r="D4" i="15" l="1"/>
  <c r="D34" i="15" s="1"/>
  <c r="C34" i="15" s="1"/>
  <c r="E4" i="15"/>
  <c r="F4" i="15" s="1"/>
  <c r="H4" i="15" s="1"/>
  <c r="G4" i="15"/>
  <c r="D5" i="15"/>
  <c r="E5" i="15"/>
  <c r="F5" i="15"/>
  <c r="G5" i="15"/>
  <c r="H5" i="15"/>
  <c r="D6" i="15"/>
  <c r="D35" i="15" s="1"/>
  <c r="E6" i="15"/>
  <c r="F6" i="15"/>
  <c r="H6" i="15" s="1"/>
  <c r="D7" i="15"/>
  <c r="E7" i="15"/>
  <c r="F7" i="15"/>
  <c r="G7" i="15"/>
  <c r="H7" i="15"/>
  <c r="D8" i="15"/>
  <c r="E8" i="15"/>
  <c r="G8" i="15" s="1"/>
  <c r="F8" i="15"/>
  <c r="H8" i="15" s="1"/>
  <c r="D9" i="15"/>
  <c r="E9" i="15"/>
  <c r="F9" i="15"/>
  <c r="G9" i="15"/>
  <c r="H9" i="15"/>
  <c r="D10" i="15"/>
  <c r="E10" i="15"/>
  <c r="F10" i="15"/>
  <c r="G10" i="15"/>
  <c r="H10" i="15"/>
  <c r="D11" i="15"/>
  <c r="E11" i="15"/>
  <c r="F11" i="15"/>
  <c r="G11" i="15"/>
  <c r="H11" i="15"/>
  <c r="D12" i="15"/>
  <c r="E12" i="15"/>
  <c r="F12" i="15"/>
  <c r="G12" i="15"/>
  <c r="H12" i="15"/>
  <c r="D13" i="15"/>
  <c r="E13" i="15"/>
  <c r="F13" i="15" s="1"/>
  <c r="H13" i="15" s="1"/>
  <c r="D14" i="15"/>
  <c r="E14" i="15"/>
  <c r="F14" i="15"/>
  <c r="G14" i="15"/>
  <c r="H14" i="15"/>
  <c r="D15" i="15"/>
  <c r="E15" i="15"/>
  <c r="F15" i="15" s="1"/>
  <c r="H15" i="15" s="1"/>
  <c r="D16" i="15"/>
  <c r="E16" i="15"/>
  <c r="F16" i="15"/>
  <c r="G16" i="15"/>
  <c r="H16" i="15"/>
  <c r="D17" i="15"/>
  <c r="E17" i="15"/>
  <c r="F17" i="15"/>
  <c r="H17" i="15" s="1"/>
  <c r="G17" i="15"/>
  <c r="D18" i="15"/>
  <c r="E18" i="15"/>
  <c r="F18" i="15"/>
  <c r="G18" i="15"/>
  <c r="H18" i="15"/>
  <c r="D19" i="15"/>
  <c r="E19" i="15"/>
  <c r="F19" i="15"/>
  <c r="G19" i="15"/>
  <c r="H19" i="15"/>
  <c r="D20" i="15"/>
  <c r="E20" i="15"/>
  <c r="F20" i="15" s="1"/>
  <c r="H20" i="15" s="1"/>
  <c r="G20" i="15"/>
  <c r="D21" i="15"/>
  <c r="E21" i="15"/>
  <c r="F21" i="15"/>
  <c r="G21" i="15"/>
  <c r="H21" i="15"/>
  <c r="D22" i="15"/>
  <c r="G22" i="15" s="1"/>
  <c r="E22" i="15"/>
  <c r="F22" i="15"/>
  <c r="H22" i="15" s="1"/>
  <c r="D23" i="15"/>
  <c r="E23" i="15"/>
  <c r="F23" i="15"/>
  <c r="G23" i="15"/>
  <c r="H23" i="15"/>
  <c r="D24" i="15"/>
  <c r="E24" i="15"/>
  <c r="G24" i="15" s="1"/>
  <c r="F24" i="15"/>
  <c r="H24" i="15" s="1"/>
  <c r="D25" i="15"/>
  <c r="E25" i="15"/>
  <c r="F25" i="15"/>
  <c r="G25" i="15"/>
  <c r="H25" i="15"/>
  <c r="D26" i="15"/>
  <c r="E26" i="15"/>
  <c r="F26" i="15"/>
  <c r="G26" i="15"/>
  <c r="H26" i="15"/>
  <c r="D27" i="15"/>
  <c r="E27" i="15"/>
  <c r="F27" i="15"/>
  <c r="G27" i="15"/>
  <c r="H27" i="15"/>
  <c r="D28" i="15"/>
  <c r="E28" i="15"/>
  <c r="F28" i="15"/>
  <c r="G28" i="15"/>
  <c r="H28" i="15"/>
  <c r="D29" i="15"/>
  <c r="E29" i="15"/>
  <c r="F29" i="15" s="1"/>
  <c r="H29" i="15" s="1"/>
  <c r="D30" i="15"/>
  <c r="E30" i="15"/>
  <c r="F30" i="15"/>
  <c r="G30" i="15"/>
  <c r="H30" i="15"/>
  <c r="D31" i="15"/>
  <c r="E31" i="15"/>
  <c r="F31" i="15" s="1"/>
  <c r="H31" i="15" s="1"/>
  <c r="D32" i="15"/>
  <c r="E32" i="15"/>
  <c r="F32" i="15"/>
  <c r="G32" i="15"/>
  <c r="H32" i="15"/>
  <c r="D33" i="15"/>
  <c r="E33" i="15"/>
  <c r="F33" i="15"/>
  <c r="H33" i="15" s="1"/>
  <c r="G33" i="15"/>
  <c r="H34" i="15" l="1"/>
  <c r="G29" i="15"/>
  <c r="G13" i="15"/>
  <c r="G6" i="15"/>
  <c r="G34" i="15" s="1"/>
  <c r="G31" i="15"/>
  <c r="G15" i="15"/>
  <c r="C13" i="15" l="1"/>
  <c r="I13" i="15" s="1"/>
  <c r="C6" i="15"/>
  <c r="I6" i="15" s="1"/>
  <c r="C7" i="15"/>
  <c r="I7" i="15" s="1"/>
  <c r="C21" i="15"/>
  <c r="I21" i="15" s="1"/>
  <c r="C12" i="15"/>
  <c r="I12" i="15" s="1"/>
  <c r="C11" i="15"/>
  <c r="I11" i="15" s="1"/>
  <c r="C10" i="15"/>
  <c r="I10" i="15" s="1"/>
  <c r="C9" i="15"/>
  <c r="I9" i="15" s="1"/>
  <c r="C8" i="15"/>
  <c r="I8" i="15" s="1"/>
  <c r="C25" i="15" l="1"/>
  <c r="I25" i="15" s="1"/>
  <c r="C24" i="15"/>
  <c r="I24" i="15" s="1"/>
  <c r="C23" i="15"/>
  <c r="I23" i="15" s="1"/>
  <c r="C27" i="15"/>
  <c r="I27" i="15" s="1"/>
  <c r="C26" i="15"/>
  <c r="I26" i="15" s="1"/>
  <c r="C4" i="15"/>
  <c r="I4" i="15" s="1"/>
  <c r="C5" i="15"/>
  <c r="I5" i="15" s="1"/>
  <c r="C22" i="15"/>
  <c r="I22" i="15" s="1"/>
  <c r="C32" i="15"/>
  <c r="I32" i="15" s="1"/>
  <c r="C28" i="15"/>
  <c r="I28" i="15" s="1"/>
  <c r="C33" i="15"/>
  <c r="I33" i="15" s="1"/>
  <c r="C30" i="15"/>
  <c r="I30" i="15" s="1"/>
  <c r="C29" i="15"/>
  <c r="I29" i="15" s="1"/>
  <c r="C31" i="15"/>
  <c r="I31" i="15" s="1"/>
  <c r="C20" i="15"/>
  <c r="I20" i="15" s="1"/>
  <c r="C19" i="15"/>
  <c r="I19" i="15" s="1"/>
  <c r="C18" i="15"/>
  <c r="I18" i="15" s="1"/>
  <c r="C17" i="15"/>
  <c r="I17" i="15" s="1"/>
  <c r="C16" i="15"/>
  <c r="I16" i="15" s="1"/>
  <c r="C15" i="15"/>
  <c r="I15" i="15" s="1"/>
  <c r="C14" i="15"/>
  <c r="I14" i="15" s="1"/>
  <c r="I34" i="15" l="1"/>
  <c r="E33" i="14" l="1"/>
  <c r="F33" i="14" s="1"/>
  <c r="H33" i="14" s="1"/>
  <c r="D33" i="14"/>
  <c r="G32" i="14"/>
  <c r="E32" i="14"/>
  <c r="F32" i="14" s="1"/>
  <c r="H32" i="14" s="1"/>
  <c r="D32" i="14"/>
  <c r="E31" i="14"/>
  <c r="G31" i="14" s="1"/>
  <c r="D31" i="14"/>
  <c r="E30" i="14"/>
  <c r="F30" i="14" s="1"/>
  <c r="H30" i="14" s="1"/>
  <c r="D30" i="14"/>
  <c r="F29" i="14"/>
  <c r="H29" i="14" s="1"/>
  <c r="E29" i="14"/>
  <c r="D29" i="14"/>
  <c r="G29" i="14" s="1"/>
  <c r="E28" i="14"/>
  <c r="F28" i="14" s="1"/>
  <c r="H28" i="14" s="1"/>
  <c r="D28" i="14"/>
  <c r="E27" i="14"/>
  <c r="G27" i="14" s="1"/>
  <c r="D27" i="14"/>
  <c r="E26" i="14"/>
  <c r="F26" i="14" s="1"/>
  <c r="H26" i="14" s="1"/>
  <c r="D26" i="14"/>
  <c r="E25" i="14"/>
  <c r="G25" i="14" s="1"/>
  <c r="D25" i="14"/>
  <c r="E24" i="14"/>
  <c r="G24" i="14" s="1"/>
  <c r="D24" i="14"/>
  <c r="G23" i="14"/>
  <c r="F23" i="14"/>
  <c r="H23" i="14" s="1"/>
  <c r="E23" i="14"/>
  <c r="D23" i="14"/>
  <c r="E22" i="14"/>
  <c r="G22" i="14" s="1"/>
  <c r="D22" i="14"/>
  <c r="E21" i="14"/>
  <c r="F21" i="14" s="1"/>
  <c r="H21" i="14" s="1"/>
  <c r="D21" i="14"/>
  <c r="E20" i="14"/>
  <c r="F20" i="14" s="1"/>
  <c r="H20" i="14" s="1"/>
  <c r="D20" i="14"/>
  <c r="E19" i="14"/>
  <c r="G19" i="14" s="1"/>
  <c r="D19" i="14"/>
  <c r="E18" i="14"/>
  <c r="G18" i="14" s="1"/>
  <c r="D18" i="14"/>
  <c r="E17" i="14"/>
  <c r="G17" i="14" s="1"/>
  <c r="D17" i="14"/>
  <c r="G16" i="14"/>
  <c r="E16" i="14"/>
  <c r="F16" i="14" s="1"/>
  <c r="H16" i="14" s="1"/>
  <c r="D16" i="14"/>
  <c r="E15" i="14"/>
  <c r="F15" i="14" s="1"/>
  <c r="H15" i="14" s="1"/>
  <c r="D15" i="14"/>
  <c r="E14" i="14"/>
  <c r="G14" i="14" s="1"/>
  <c r="D14" i="14"/>
  <c r="E13" i="14"/>
  <c r="G13" i="14" s="1"/>
  <c r="D13" i="14"/>
  <c r="E12" i="14"/>
  <c r="G12" i="14" s="1"/>
  <c r="D12" i="14"/>
  <c r="E11" i="14"/>
  <c r="G11" i="14" s="1"/>
  <c r="D11" i="14"/>
  <c r="E10" i="14"/>
  <c r="F10" i="14" s="1"/>
  <c r="H10" i="14" s="1"/>
  <c r="D10" i="14"/>
  <c r="E9" i="14"/>
  <c r="G9" i="14" s="1"/>
  <c r="D9" i="14"/>
  <c r="E8" i="14"/>
  <c r="F8" i="14" s="1"/>
  <c r="H8" i="14" s="1"/>
  <c r="D8" i="14"/>
  <c r="G7" i="14"/>
  <c r="F7" i="14"/>
  <c r="H7" i="14" s="1"/>
  <c r="E7" i="14"/>
  <c r="D7" i="14"/>
  <c r="E6" i="14"/>
  <c r="G6" i="14" s="1"/>
  <c r="D6" i="14"/>
  <c r="E5" i="14"/>
  <c r="F5" i="14" s="1"/>
  <c r="H5" i="14" s="1"/>
  <c r="D5" i="14"/>
  <c r="E4" i="14"/>
  <c r="F4" i="14" s="1"/>
  <c r="H4" i="14" s="1"/>
  <c r="D4" i="14"/>
  <c r="D35" i="14" s="1"/>
  <c r="F14" i="14" l="1"/>
  <c r="H14" i="14" s="1"/>
  <c r="G5" i="14"/>
  <c r="F12" i="14"/>
  <c r="H12" i="14" s="1"/>
  <c r="G21" i="14"/>
  <c r="F19" i="14"/>
  <c r="H19" i="14" s="1"/>
  <c r="G28" i="14"/>
  <c r="G10" i="14"/>
  <c r="F17" i="14"/>
  <c r="H17" i="14" s="1"/>
  <c r="G26" i="14"/>
  <c r="F24" i="14"/>
  <c r="H24" i="14" s="1"/>
  <c r="G33" i="14"/>
  <c r="F31" i="14"/>
  <c r="H31" i="14" s="1"/>
  <c r="F6" i="14"/>
  <c r="H6" i="14" s="1"/>
  <c r="G15" i="14"/>
  <c r="F22" i="14"/>
  <c r="H22" i="14" s="1"/>
  <c r="G30" i="14"/>
  <c r="G8" i="14"/>
  <c r="D34" i="14"/>
  <c r="C34" i="14" s="1"/>
  <c r="G4" i="14"/>
  <c r="F11" i="14"/>
  <c r="H11" i="14" s="1"/>
  <c r="H34" i="14" s="1"/>
  <c r="G20" i="14"/>
  <c r="F27" i="14"/>
  <c r="H27" i="14" s="1"/>
  <c r="F18" i="14"/>
  <c r="H18" i="14" s="1"/>
  <c r="F25" i="14"/>
  <c r="H25" i="14" s="1"/>
  <c r="F13" i="14"/>
  <c r="H13" i="14" s="1"/>
  <c r="F9" i="14"/>
  <c r="H9" i="14" s="1"/>
  <c r="G34" i="14" l="1"/>
  <c r="C21" i="14" l="1"/>
  <c r="I21" i="14" s="1"/>
  <c r="C8" i="14" l="1"/>
  <c r="I8" i="14" s="1"/>
  <c r="C26" i="14"/>
  <c r="I26" i="14" s="1"/>
  <c r="C13" i="14"/>
  <c r="I13" i="14" s="1"/>
  <c r="C27" i="14"/>
  <c r="I27" i="14" s="1"/>
  <c r="C6" i="14"/>
  <c r="I6" i="14" s="1"/>
  <c r="C24" i="14"/>
  <c r="I24" i="14" s="1"/>
  <c r="C9" i="14"/>
  <c r="I9" i="14" s="1"/>
  <c r="C10" i="14"/>
  <c r="I10" i="14" s="1"/>
  <c r="C11" i="14"/>
  <c r="I11" i="14" s="1"/>
  <c r="C23" i="14"/>
  <c r="I23" i="14" s="1"/>
  <c r="C12" i="14"/>
  <c r="I12" i="14" s="1"/>
  <c r="C7" i="14"/>
  <c r="I7" i="14" s="1"/>
  <c r="C25" i="14"/>
  <c r="I25" i="14" s="1"/>
  <c r="C29" i="14" l="1"/>
  <c r="I29" i="14" s="1"/>
  <c r="C22" i="14"/>
  <c r="I22" i="14" s="1"/>
  <c r="C4" i="14"/>
  <c r="I4" i="14" s="1"/>
  <c r="C15" i="14"/>
  <c r="I15" i="14" s="1"/>
  <c r="C5" i="14"/>
  <c r="I5" i="14" s="1"/>
  <c r="C31" i="14"/>
  <c r="I31" i="14" s="1"/>
  <c r="C20" i="14"/>
  <c r="I20" i="14" s="1"/>
  <c r="C32" i="14"/>
  <c r="I32" i="14" s="1"/>
  <c r="C33" i="14"/>
  <c r="I33" i="14" s="1"/>
  <c r="C18" i="14"/>
  <c r="I18" i="14" s="1"/>
  <c r="C28" i="14"/>
  <c r="I28" i="14" s="1"/>
  <c r="C19" i="14"/>
  <c r="I19" i="14" s="1"/>
  <c r="C14" i="14"/>
  <c r="I14" i="14" s="1"/>
  <c r="C16" i="14"/>
  <c r="I16" i="14" s="1"/>
  <c r="C17" i="14"/>
  <c r="I17" i="14" s="1"/>
  <c r="C30" i="14"/>
  <c r="I30" i="14" s="1"/>
  <c r="I34" i="14" l="1"/>
  <c r="E33" i="13" l="1"/>
  <c r="F33" i="13" s="1"/>
  <c r="H33" i="13" s="1"/>
  <c r="D33" i="13"/>
  <c r="C33" i="13"/>
  <c r="I33" i="13" s="1"/>
  <c r="I32" i="13"/>
  <c r="G32" i="13"/>
  <c r="F32" i="13"/>
  <c r="H32" i="13" s="1"/>
  <c r="E32" i="13"/>
  <c r="D32" i="13"/>
  <c r="C32" i="13"/>
  <c r="F31" i="13"/>
  <c r="H31" i="13" s="1"/>
  <c r="E31" i="13"/>
  <c r="D31" i="13"/>
  <c r="G31" i="13" s="1"/>
  <c r="C31" i="13"/>
  <c r="I31" i="13" s="1"/>
  <c r="E30" i="13"/>
  <c r="F30" i="13" s="1"/>
  <c r="H30" i="13" s="1"/>
  <c r="D30" i="13"/>
  <c r="I30" i="13" s="1"/>
  <c r="C30" i="13"/>
  <c r="E29" i="13"/>
  <c r="G29" i="13" s="1"/>
  <c r="D29" i="13"/>
  <c r="C29" i="13"/>
  <c r="I29" i="13" s="1"/>
  <c r="E28" i="13"/>
  <c r="F28" i="13" s="1"/>
  <c r="H28" i="13" s="1"/>
  <c r="D28" i="13"/>
  <c r="C28" i="13"/>
  <c r="I28" i="13" s="1"/>
  <c r="I27" i="13"/>
  <c r="E27" i="13"/>
  <c r="G27" i="13" s="1"/>
  <c r="D27" i="13"/>
  <c r="C27" i="13"/>
  <c r="E26" i="13"/>
  <c r="F26" i="13" s="1"/>
  <c r="H26" i="13" s="1"/>
  <c r="D26" i="13"/>
  <c r="C26" i="13"/>
  <c r="I26" i="13" s="1"/>
  <c r="I25" i="13"/>
  <c r="G25" i="13"/>
  <c r="E25" i="13"/>
  <c r="F25" i="13" s="1"/>
  <c r="H25" i="13" s="1"/>
  <c r="D25" i="13"/>
  <c r="C25" i="13"/>
  <c r="E24" i="13"/>
  <c r="G24" i="13" s="1"/>
  <c r="D24" i="13"/>
  <c r="C24" i="13"/>
  <c r="I24" i="13" s="1"/>
  <c r="I23" i="13"/>
  <c r="E23" i="13"/>
  <c r="F23" i="13" s="1"/>
  <c r="H23" i="13" s="1"/>
  <c r="D23" i="13"/>
  <c r="C23" i="13"/>
  <c r="E22" i="13"/>
  <c r="F22" i="13" s="1"/>
  <c r="H22" i="13" s="1"/>
  <c r="D22" i="13"/>
  <c r="C22" i="13"/>
  <c r="I22" i="13" s="1"/>
  <c r="E21" i="13"/>
  <c r="G21" i="13" s="1"/>
  <c r="D21" i="13"/>
  <c r="C21" i="13"/>
  <c r="I21" i="13" s="1"/>
  <c r="E20" i="13"/>
  <c r="F20" i="13" s="1"/>
  <c r="H20" i="13" s="1"/>
  <c r="D20" i="13"/>
  <c r="C20" i="13"/>
  <c r="I20" i="13" s="1"/>
  <c r="E19" i="13"/>
  <c r="F19" i="13" s="1"/>
  <c r="H19" i="13" s="1"/>
  <c r="D19" i="13"/>
  <c r="C19" i="13"/>
  <c r="I19" i="13" s="1"/>
  <c r="I18" i="13"/>
  <c r="H18" i="13"/>
  <c r="F18" i="13"/>
  <c r="E18" i="13"/>
  <c r="D18" i="13"/>
  <c r="G18" i="13" s="1"/>
  <c r="C18" i="13"/>
  <c r="E17" i="13"/>
  <c r="F17" i="13" s="1"/>
  <c r="H17" i="13" s="1"/>
  <c r="D17" i="13"/>
  <c r="C17" i="13"/>
  <c r="I17" i="13" s="1"/>
  <c r="I16" i="13"/>
  <c r="G16" i="13"/>
  <c r="F16" i="13"/>
  <c r="H16" i="13" s="1"/>
  <c r="E16" i="13"/>
  <c r="D16" i="13"/>
  <c r="C16" i="13"/>
  <c r="F15" i="13"/>
  <c r="H15" i="13" s="1"/>
  <c r="E15" i="13"/>
  <c r="D15" i="13"/>
  <c r="G15" i="13" s="1"/>
  <c r="C15" i="13"/>
  <c r="I15" i="13" s="1"/>
  <c r="E14" i="13"/>
  <c r="G14" i="13" s="1"/>
  <c r="D14" i="13"/>
  <c r="I14" i="13" s="1"/>
  <c r="C14" i="13"/>
  <c r="E13" i="13"/>
  <c r="F13" i="13" s="1"/>
  <c r="H13" i="13" s="1"/>
  <c r="D13" i="13"/>
  <c r="C13" i="13"/>
  <c r="I13" i="13" s="1"/>
  <c r="E12" i="13"/>
  <c r="G12" i="13" s="1"/>
  <c r="D12" i="13"/>
  <c r="C12" i="13"/>
  <c r="I12" i="13" s="1"/>
  <c r="I11" i="13"/>
  <c r="E11" i="13"/>
  <c r="G11" i="13" s="1"/>
  <c r="D11" i="13"/>
  <c r="C11" i="13"/>
  <c r="E10" i="13"/>
  <c r="G10" i="13" s="1"/>
  <c r="D10" i="13"/>
  <c r="C10" i="13"/>
  <c r="I10" i="13" s="1"/>
  <c r="I9" i="13"/>
  <c r="G9" i="13"/>
  <c r="E9" i="13"/>
  <c r="F9" i="13" s="1"/>
  <c r="H9" i="13" s="1"/>
  <c r="D9" i="13"/>
  <c r="C9" i="13"/>
  <c r="E8" i="13"/>
  <c r="G8" i="13" s="1"/>
  <c r="D8" i="13"/>
  <c r="C8" i="13"/>
  <c r="I8" i="13" s="1"/>
  <c r="I7" i="13"/>
  <c r="E7" i="13"/>
  <c r="G7" i="13" s="1"/>
  <c r="D7" i="13"/>
  <c r="C7" i="13"/>
  <c r="E6" i="13"/>
  <c r="G6" i="13" s="1"/>
  <c r="D6" i="13"/>
  <c r="C6" i="13"/>
  <c r="I6" i="13" s="1"/>
  <c r="E5" i="13"/>
  <c r="G5" i="13" s="1"/>
  <c r="D5" i="13"/>
  <c r="D35" i="13" s="1"/>
  <c r="C5" i="13"/>
  <c r="I5" i="13" s="1"/>
  <c r="E4" i="13"/>
  <c r="F4" i="13" s="1"/>
  <c r="H4" i="13" s="1"/>
  <c r="D4" i="13"/>
  <c r="D34" i="13" s="1"/>
  <c r="C34" i="13" s="1"/>
  <c r="C4" i="13"/>
  <c r="I4" i="13" s="1"/>
  <c r="E33" i="12"/>
  <c r="G33" i="12" s="1"/>
  <c r="D33" i="12"/>
  <c r="C33" i="12"/>
  <c r="I33" i="12" s="1"/>
  <c r="I32" i="12"/>
  <c r="G32" i="12"/>
  <c r="E32" i="12"/>
  <c r="F32" i="12" s="1"/>
  <c r="H32" i="12" s="1"/>
  <c r="D32" i="12"/>
  <c r="C32" i="12"/>
  <c r="E31" i="12"/>
  <c r="G31" i="12" s="1"/>
  <c r="D31" i="12"/>
  <c r="C31" i="12"/>
  <c r="I31" i="12" s="1"/>
  <c r="I30" i="12"/>
  <c r="E30" i="12"/>
  <c r="G30" i="12" s="1"/>
  <c r="D30" i="12"/>
  <c r="C30" i="12"/>
  <c r="G29" i="12"/>
  <c r="F29" i="12"/>
  <c r="H29" i="12" s="1"/>
  <c r="E29" i="12"/>
  <c r="D29" i="12"/>
  <c r="C29" i="12"/>
  <c r="I29" i="12" s="1"/>
  <c r="E28" i="12"/>
  <c r="F28" i="12" s="1"/>
  <c r="H28" i="12" s="1"/>
  <c r="D28" i="12"/>
  <c r="C28" i="12"/>
  <c r="I28" i="12" s="1"/>
  <c r="E27" i="12"/>
  <c r="G27" i="12" s="1"/>
  <c r="D27" i="12"/>
  <c r="C27" i="12"/>
  <c r="I27" i="12" s="1"/>
  <c r="E26" i="12"/>
  <c r="G26" i="12" s="1"/>
  <c r="D26" i="12"/>
  <c r="C26" i="12"/>
  <c r="I26" i="12" s="1"/>
  <c r="I25" i="12"/>
  <c r="E25" i="12"/>
  <c r="G25" i="12" s="1"/>
  <c r="D25" i="12"/>
  <c r="C25" i="12"/>
  <c r="E24" i="12"/>
  <c r="G24" i="12" s="1"/>
  <c r="D24" i="12"/>
  <c r="C24" i="12"/>
  <c r="I24" i="12" s="1"/>
  <c r="I23" i="12"/>
  <c r="G23" i="12"/>
  <c r="F23" i="12"/>
  <c r="H23" i="12" s="1"/>
  <c r="E23" i="12"/>
  <c r="D23" i="12"/>
  <c r="C23" i="12"/>
  <c r="G22" i="12"/>
  <c r="E22" i="12"/>
  <c r="F22" i="12" s="1"/>
  <c r="H22" i="12" s="1"/>
  <c r="D22" i="12"/>
  <c r="C22" i="12"/>
  <c r="I22" i="12" s="1"/>
  <c r="E21" i="12"/>
  <c r="G21" i="12" s="1"/>
  <c r="D21" i="12"/>
  <c r="I21" i="12" s="1"/>
  <c r="C21" i="12"/>
  <c r="I20" i="12"/>
  <c r="E20" i="12"/>
  <c r="G20" i="12" s="1"/>
  <c r="D20" i="12"/>
  <c r="C20" i="12"/>
  <c r="E19" i="12"/>
  <c r="G19" i="12" s="1"/>
  <c r="D19" i="12"/>
  <c r="C19" i="12"/>
  <c r="I19" i="12" s="1"/>
  <c r="I18" i="12"/>
  <c r="E18" i="12"/>
  <c r="G18" i="12" s="1"/>
  <c r="D18" i="12"/>
  <c r="C18" i="12"/>
  <c r="E17" i="12"/>
  <c r="G17" i="12" s="1"/>
  <c r="D17" i="12"/>
  <c r="C17" i="12"/>
  <c r="I17" i="12" s="1"/>
  <c r="I16" i="12"/>
  <c r="G16" i="12"/>
  <c r="E16" i="12"/>
  <c r="F16" i="12" s="1"/>
  <c r="H16" i="12" s="1"/>
  <c r="D16" i="12"/>
  <c r="C16" i="12"/>
  <c r="E15" i="12"/>
  <c r="G15" i="12" s="1"/>
  <c r="D15" i="12"/>
  <c r="C15" i="12"/>
  <c r="I15" i="12" s="1"/>
  <c r="I14" i="12"/>
  <c r="E14" i="12"/>
  <c r="G14" i="12" s="1"/>
  <c r="D14" i="12"/>
  <c r="C14" i="12"/>
  <c r="G13" i="12"/>
  <c r="F13" i="12"/>
  <c r="H13" i="12" s="1"/>
  <c r="E13" i="12"/>
  <c r="D13" i="12"/>
  <c r="C13" i="12"/>
  <c r="I13" i="12" s="1"/>
  <c r="E12" i="12"/>
  <c r="G12" i="12" s="1"/>
  <c r="D12" i="12"/>
  <c r="C12" i="12"/>
  <c r="I12" i="12" s="1"/>
  <c r="E11" i="12"/>
  <c r="G11" i="12" s="1"/>
  <c r="D11" i="12"/>
  <c r="C11" i="12"/>
  <c r="I11" i="12" s="1"/>
  <c r="E10" i="12"/>
  <c r="G10" i="12" s="1"/>
  <c r="D10" i="12"/>
  <c r="C10" i="12"/>
  <c r="I10" i="12" s="1"/>
  <c r="I9" i="12"/>
  <c r="E9" i="12"/>
  <c r="G9" i="12" s="1"/>
  <c r="D9" i="12"/>
  <c r="C9" i="12"/>
  <c r="E8" i="12"/>
  <c r="G8" i="12" s="1"/>
  <c r="D8" i="12"/>
  <c r="C8" i="12"/>
  <c r="I8" i="12" s="1"/>
  <c r="I7" i="12"/>
  <c r="G7" i="12"/>
  <c r="F7" i="12"/>
  <c r="H7" i="12" s="1"/>
  <c r="E7" i="12"/>
  <c r="D7" i="12"/>
  <c r="C7" i="12"/>
  <c r="G6" i="12"/>
  <c r="E6" i="12"/>
  <c r="F6" i="12" s="1"/>
  <c r="H6" i="12" s="1"/>
  <c r="D6" i="12"/>
  <c r="C6" i="12"/>
  <c r="I6" i="12" s="1"/>
  <c r="E5" i="12"/>
  <c r="G5" i="12" s="1"/>
  <c r="D5" i="12"/>
  <c r="D34" i="12" s="1"/>
  <c r="C34" i="12" s="1"/>
  <c r="C5" i="12"/>
  <c r="I4" i="12"/>
  <c r="E4" i="12"/>
  <c r="G4" i="12" s="1"/>
  <c r="D4" i="12"/>
  <c r="D35" i="12" s="1"/>
  <c r="C4" i="12"/>
  <c r="I34" i="13" l="1"/>
  <c r="F5" i="13"/>
  <c r="H5" i="13" s="1"/>
  <c r="H34" i="13" s="1"/>
  <c r="F10" i="13"/>
  <c r="H10" i="13" s="1"/>
  <c r="F8" i="13"/>
  <c r="H8" i="13" s="1"/>
  <c r="G17" i="13"/>
  <c r="F24" i="13"/>
  <c r="H24" i="13" s="1"/>
  <c r="G33" i="13"/>
  <c r="F7" i="13"/>
  <c r="H7" i="13" s="1"/>
  <c r="F14" i="13"/>
  <c r="H14" i="13" s="1"/>
  <c r="G23" i="13"/>
  <c r="G28" i="13"/>
  <c r="G26" i="13"/>
  <c r="F29" i="13"/>
  <c r="H29" i="13" s="1"/>
  <c r="G13" i="13"/>
  <c r="G4" i="13"/>
  <c r="G34" i="13" s="1"/>
  <c r="F11" i="13"/>
  <c r="H11" i="13" s="1"/>
  <c r="G20" i="13"/>
  <c r="F27" i="13"/>
  <c r="H27" i="13" s="1"/>
  <c r="F21" i="13"/>
  <c r="H21" i="13" s="1"/>
  <c r="G30" i="13"/>
  <c r="F12" i="13"/>
  <c r="H12" i="13" s="1"/>
  <c r="G19" i="13"/>
  <c r="G22" i="13"/>
  <c r="F6" i="13"/>
  <c r="H6" i="13" s="1"/>
  <c r="F30" i="12"/>
  <c r="H30" i="12" s="1"/>
  <c r="F5" i="12"/>
  <c r="H5" i="12" s="1"/>
  <c r="F21" i="12"/>
  <c r="H21" i="12" s="1"/>
  <c r="F19" i="12"/>
  <c r="H19" i="12" s="1"/>
  <c r="G28" i="12"/>
  <c r="G34" i="12" s="1"/>
  <c r="I5" i="12"/>
  <c r="I34" i="12" s="1"/>
  <c r="F10" i="12"/>
  <c r="H10" i="12" s="1"/>
  <c r="F26" i="12"/>
  <c r="H26" i="12" s="1"/>
  <c r="F17" i="12"/>
  <c r="H17" i="12" s="1"/>
  <c r="F33" i="12"/>
  <c r="H33" i="12" s="1"/>
  <c r="F8" i="12"/>
  <c r="H8" i="12" s="1"/>
  <c r="F24" i="12"/>
  <c r="H24" i="12" s="1"/>
  <c r="F15" i="12"/>
  <c r="H15" i="12" s="1"/>
  <c r="F31" i="12"/>
  <c r="H31" i="12" s="1"/>
  <c r="F14" i="12"/>
  <c r="H14" i="12" s="1"/>
  <c r="F12" i="12"/>
  <c r="H12" i="12" s="1"/>
  <c r="F4" i="12"/>
  <c r="H4" i="12" s="1"/>
  <c r="F20" i="12"/>
  <c r="H20" i="12" s="1"/>
  <c r="F11" i="12"/>
  <c r="H11" i="12" s="1"/>
  <c r="F27" i="12"/>
  <c r="H27" i="12" s="1"/>
  <c r="F18" i="12"/>
  <c r="H18" i="12" s="1"/>
  <c r="F9" i="12"/>
  <c r="H9" i="12" s="1"/>
  <c r="F25" i="12"/>
  <c r="H25" i="12" s="1"/>
  <c r="H34" i="12" l="1"/>
  <c r="E33" i="11" l="1"/>
  <c r="G33" i="11" s="1"/>
  <c r="D33" i="11"/>
  <c r="E32" i="11"/>
  <c r="F32" i="11" s="1"/>
  <c r="H32" i="11" s="1"/>
  <c r="D32" i="11"/>
  <c r="F31" i="11"/>
  <c r="H31" i="11" s="1"/>
  <c r="E31" i="11"/>
  <c r="D31" i="11"/>
  <c r="G31" i="11" s="1"/>
  <c r="G30" i="11"/>
  <c r="F30" i="11"/>
  <c r="H30" i="11" s="1"/>
  <c r="E30" i="11"/>
  <c r="D30" i="11"/>
  <c r="E29" i="11"/>
  <c r="F29" i="11" s="1"/>
  <c r="H29" i="11" s="1"/>
  <c r="D29" i="11"/>
  <c r="G29" i="11" s="1"/>
  <c r="E28" i="11"/>
  <c r="G28" i="11" s="1"/>
  <c r="D28" i="11"/>
  <c r="G27" i="11"/>
  <c r="E27" i="11"/>
  <c r="F27" i="11" s="1"/>
  <c r="H27" i="11" s="1"/>
  <c r="D27" i="11"/>
  <c r="E26" i="11"/>
  <c r="F26" i="11" s="1"/>
  <c r="H26" i="11" s="1"/>
  <c r="D26" i="11"/>
  <c r="E25" i="11"/>
  <c r="G25" i="11" s="1"/>
  <c r="D25" i="11"/>
  <c r="E24" i="11"/>
  <c r="G24" i="11" s="1"/>
  <c r="D24" i="11"/>
  <c r="F23" i="11"/>
  <c r="E23" i="11"/>
  <c r="D23" i="11"/>
  <c r="H23" i="11" s="1"/>
  <c r="E22" i="11"/>
  <c r="G22" i="11" s="1"/>
  <c r="D22" i="11"/>
  <c r="E21" i="11"/>
  <c r="G21" i="11" s="1"/>
  <c r="D21" i="11"/>
  <c r="H20" i="11"/>
  <c r="F20" i="11"/>
  <c r="E20" i="11"/>
  <c r="D20" i="11"/>
  <c r="G20" i="11" s="1"/>
  <c r="E19" i="11"/>
  <c r="G19" i="11" s="1"/>
  <c r="D19" i="11"/>
  <c r="G18" i="11"/>
  <c r="F18" i="11"/>
  <c r="H18" i="11" s="1"/>
  <c r="E18" i="11"/>
  <c r="D18" i="11"/>
  <c r="E17" i="11"/>
  <c r="F17" i="11" s="1"/>
  <c r="H17" i="11" s="1"/>
  <c r="D17" i="11"/>
  <c r="E16" i="11"/>
  <c r="F16" i="11" s="1"/>
  <c r="H16" i="11" s="1"/>
  <c r="D16" i="11"/>
  <c r="F15" i="11"/>
  <c r="H15" i="11" s="1"/>
  <c r="E15" i="11"/>
  <c r="D15" i="11"/>
  <c r="G15" i="11" s="1"/>
  <c r="G14" i="11"/>
  <c r="F14" i="11"/>
  <c r="H14" i="11" s="1"/>
  <c r="E14" i="11"/>
  <c r="D14" i="11"/>
  <c r="E13" i="11"/>
  <c r="F13" i="11" s="1"/>
  <c r="H13" i="11" s="1"/>
  <c r="D13" i="11"/>
  <c r="G13" i="11" s="1"/>
  <c r="E12" i="11"/>
  <c r="G12" i="11" s="1"/>
  <c r="D12" i="11"/>
  <c r="G11" i="11"/>
  <c r="E11" i="11"/>
  <c r="F11" i="11" s="1"/>
  <c r="H11" i="11" s="1"/>
  <c r="D11" i="11"/>
  <c r="E10" i="11"/>
  <c r="G10" i="11" s="1"/>
  <c r="D10" i="11"/>
  <c r="E9" i="11"/>
  <c r="G9" i="11" s="1"/>
  <c r="D9" i="11"/>
  <c r="E8" i="11"/>
  <c r="G8" i="11" s="1"/>
  <c r="D8" i="11"/>
  <c r="F7" i="11"/>
  <c r="H7" i="11" s="1"/>
  <c r="E7" i="11"/>
  <c r="D7" i="11"/>
  <c r="G7" i="11" s="1"/>
  <c r="E6" i="11"/>
  <c r="G6" i="11" s="1"/>
  <c r="D6" i="11"/>
  <c r="E5" i="11"/>
  <c r="G5" i="11" s="1"/>
  <c r="D5" i="11"/>
  <c r="H4" i="11"/>
  <c r="F4" i="11"/>
  <c r="E4" i="11"/>
  <c r="D4" i="11"/>
  <c r="D35" i="11" s="1"/>
  <c r="G16" i="11" l="1"/>
  <c r="G32" i="11"/>
  <c r="F10" i="11"/>
  <c r="H10" i="11" s="1"/>
  <c r="F33" i="11"/>
  <c r="H33" i="11" s="1"/>
  <c r="F8" i="11"/>
  <c r="H8" i="11" s="1"/>
  <c r="G17" i="11"/>
  <c r="F24" i="11"/>
  <c r="H24" i="11" s="1"/>
  <c r="F9" i="11"/>
  <c r="H9" i="11" s="1"/>
  <c r="G23" i="11"/>
  <c r="F5" i="11"/>
  <c r="H5" i="11" s="1"/>
  <c r="F21" i="11"/>
  <c r="H21" i="11" s="1"/>
  <c r="F12" i="11"/>
  <c r="H12" i="11" s="1"/>
  <c r="F28" i="11"/>
  <c r="H28" i="11" s="1"/>
  <c r="F19" i="11"/>
  <c r="H19" i="11" s="1"/>
  <c r="G26" i="11"/>
  <c r="F6" i="11"/>
  <c r="H6" i="11" s="1"/>
  <c r="F22" i="11"/>
  <c r="H22" i="11" s="1"/>
  <c r="D34" i="11"/>
  <c r="C34" i="11" s="1"/>
  <c r="G4" i="11"/>
  <c r="F25" i="11"/>
  <c r="H25" i="11" s="1"/>
  <c r="G34" i="11" l="1"/>
  <c r="H34" i="11"/>
  <c r="C21" i="11" l="1"/>
  <c r="I21" i="11" s="1"/>
  <c r="C13" i="11" l="1"/>
  <c r="I13" i="11" s="1"/>
  <c r="C26" i="11"/>
  <c r="I26" i="11" s="1"/>
  <c r="C27" i="11"/>
  <c r="I27" i="11" s="1"/>
  <c r="C7" i="11"/>
  <c r="I7" i="11" s="1"/>
  <c r="C6" i="11"/>
  <c r="I6" i="11" s="1"/>
  <c r="C24" i="11"/>
  <c r="I24" i="11" s="1"/>
  <c r="C8" i="11"/>
  <c r="I8" i="11" s="1"/>
  <c r="C9" i="11"/>
  <c r="I9" i="11" s="1"/>
  <c r="C10" i="11"/>
  <c r="I10" i="11" s="1"/>
  <c r="C23" i="11"/>
  <c r="I23" i="11" s="1"/>
  <c r="C11" i="11"/>
  <c r="I11" i="11" s="1"/>
  <c r="C12" i="11"/>
  <c r="I12" i="11" s="1"/>
  <c r="C25" i="11"/>
  <c r="I25" i="11" s="1"/>
  <c r="C18" i="11" l="1"/>
  <c r="I18" i="11" s="1"/>
  <c r="C4" i="11"/>
  <c r="I4" i="11" s="1"/>
  <c r="C22" i="11"/>
  <c r="I22" i="11" s="1"/>
  <c r="C33" i="11"/>
  <c r="I33" i="11" s="1"/>
  <c r="C28" i="11"/>
  <c r="I28" i="11" s="1"/>
  <c r="C31" i="11"/>
  <c r="I31" i="11" s="1"/>
  <c r="C29" i="11"/>
  <c r="I29" i="11" s="1"/>
  <c r="C5" i="11"/>
  <c r="I5" i="11" s="1"/>
  <c r="C19" i="11"/>
  <c r="I19" i="11" s="1"/>
  <c r="C15" i="11"/>
  <c r="I15" i="11" s="1"/>
  <c r="C16" i="11"/>
  <c r="I16" i="11" s="1"/>
  <c r="C20" i="11"/>
  <c r="I20" i="11" s="1"/>
  <c r="C32" i="11"/>
  <c r="I32" i="11" s="1"/>
  <c r="C14" i="11"/>
  <c r="I14" i="11" s="1"/>
  <c r="C17" i="11"/>
  <c r="I17" i="11" s="1"/>
  <c r="C30" i="11"/>
  <c r="I30" i="11" s="1"/>
  <c r="I34" i="11" l="1"/>
  <c r="E33" i="10" l="1"/>
  <c r="F33" i="10" s="1"/>
  <c r="H33" i="10" s="1"/>
  <c r="D33" i="10"/>
  <c r="G32" i="10"/>
  <c r="E32" i="10"/>
  <c r="F32" i="10" s="1"/>
  <c r="H32" i="10" s="1"/>
  <c r="D32" i="10"/>
  <c r="E31" i="10"/>
  <c r="G31" i="10" s="1"/>
  <c r="D31" i="10"/>
  <c r="E30" i="10"/>
  <c r="G30" i="10" s="1"/>
  <c r="D30" i="10"/>
  <c r="E29" i="10"/>
  <c r="G29" i="10" s="1"/>
  <c r="D29" i="10"/>
  <c r="E28" i="10"/>
  <c r="G28" i="10" s="1"/>
  <c r="D28" i="10"/>
  <c r="E27" i="10"/>
  <c r="G27" i="10" s="1"/>
  <c r="D27" i="10"/>
  <c r="E26" i="10"/>
  <c r="G26" i="10" s="1"/>
  <c r="D26" i="10"/>
  <c r="H25" i="10"/>
  <c r="F25" i="10"/>
  <c r="E25" i="10"/>
  <c r="G25" i="10" s="1"/>
  <c r="D25" i="10"/>
  <c r="E24" i="10"/>
  <c r="G24" i="10" s="1"/>
  <c r="D24" i="10"/>
  <c r="G23" i="10"/>
  <c r="F23" i="10"/>
  <c r="H23" i="10" s="1"/>
  <c r="E23" i="10"/>
  <c r="D23" i="10"/>
  <c r="E22" i="10"/>
  <c r="F22" i="10" s="1"/>
  <c r="H22" i="10" s="1"/>
  <c r="D22" i="10"/>
  <c r="E21" i="10"/>
  <c r="G21" i="10" s="1"/>
  <c r="D21" i="10"/>
  <c r="E20" i="10"/>
  <c r="G20" i="10" s="1"/>
  <c r="D20" i="10"/>
  <c r="E19" i="10"/>
  <c r="G19" i="10" s="1"/>
  <c r="D19" i="10"/>
  <c r="E18" i="10"/>
  <c r="F18" i="10" s="1"/>
  <c r="H18" i="10" s="1"/>
  <c r="D18" i="10"/>
  <c r="G18" i="10" s="1"/>
  <c r="E17" i="10"/>
  <c r="F17" i="10" s="1"/>
  <c r="H17" i="10" s="1"/>
  <c r="D17" i="10"/>
  <c r="G16" i="10"/>
  <c r="E16" i="10"/>
  <c r="F16" i="10" s="1"/>
  <c r="H16" i="10" s="1"/>
  <c r="D16" i="10"/>
  <c r="E15" i="10"/>
  <c r="F15" i="10" s="1"/>
  <c r="H15" i="10" s="1"/>
  <c r="D15" i="10"/>
  <c r="E14" i="10"/>
  <c r="F14" i="10" s="1"/>
  <c r="H14" i="10" s="1"/>
  <c r="D14" i="10"/>
  <c r="E13" i="10"/>
  <c r="G13" i="10" s="1"/>
  <c r="D13" i="10"/>
  <c r="E12" i="10"/>
  <c r="G12" i="10" s="1"/>
  <c r="D12" i="10"/>
  <c r="E11" i="10"/>
  <c r="G11" i="10" s="1"/>
  <c r="D11" i="10"/>
  <c r="E10" i="10"/>
  <c r="G10" i="10" s="1"/>
  <c r="D10" i="10"/>
  <c r="H9" i="10"/>
  <c r="F9" i="10"/>
  <c r="E9" i="10"/>
  <c r="G9" i="10" s="1"/>
  <c r="D9" i="10"/>
  <c r="E8" i="10"/>
  <c r="G8" i="10" s="1"/>
  <c r="D8" i="10"/>
  <c r="G7" i="10"/>
  <c r="F7" i="10"/>
  <c r="H7" i="10" s="1"/>
  <c r="E7" i="10"/>
  <c r="D7" i="10"/>
  <c r="E6" i="10"/>
  <c r="G6" i="10" s="1"/>
  <c r="D6" i="10"/>
  <c r="E5" i="10"/>
  <c r="G5" i="10" s="1"/>
  <c r="D5" i="10"/>
  <c r="E4" i="10"/>
  <c r="G4" i="10" s="1"/>
  <c r="D4" i="10"/>
  <c r="D35" i="10" s="1"/>
  <c r="F5" i="10" l="1"/>
  <c r="H5" i="10" s="1"/>
  <c r="G14" i="10"/>
  <c r="G34" i="10" s="1"/>
  <c r="F21" i="10"/>
  <c r="H21" i="10" s="1"/>
  <c r="F12" i="10"/>
  <c r="H12" i="10" s="1"/>
  <c r="F28" i="10"/>
  <c r="H28" i="10" s="1"/>
  <c r="F19" i="10"/>
  <c r="H19" i="10" s="1"/>
  <c r="F10" i="10"/>
  <c r="H10" i="10" s="1"/>
  <c r="F26" i="10"/>
  <c r="H26" i="10" s="1"/>
  <c r="F8" i="10"/>
  <c r="H8" i="10" s="1"/>
  <c r="G17" i="10"/>
  <c r="F24" i="10"/>
  <c r="H24" i="10" s="1"/>
  <c r="G33" i="10"/>
  <c r="F31" i="10"/>
  <c r="H31" i="10" s="1"/>
  <c r="F6" i="10"/>
  <c r="H6" i="10" s="1"/>
  <c r="G15" i="10"/>
  <c r="F13" i="10"/>
  <c r="H13" i="10" s="1"/>
  <c r="G22" i="10"/>
  <c r="F29" i="10"/>
  <c r="H29" i="10" s="1"/>
  <c r="F4" i="10"/>
  <c r="H4" i="10" s="1"/>
  <c r="F20" i="10"/>
  <c r="H20" i="10" s="1"/>
  <c r="D34" i="10"/>
  <c r="C34" i="10" s="1"/>
  <c r="F11" i="10"/>
  <c r="H11" i="10" s="1"/>
  <c r="F27" i="10"/>
  <c r="H27" i="10" s="1"/>
  <c r="F30" i="10"/>
  <c r="H30" i="10" s="1"/>
  <c r="H34" i="10" l="1"/>
  <c r="C21" i="10" l="1"/>
  <c r="I21" i="10" s="1"/>
  <c r="C27" i="10" l="1"/>
  <c r="I27" i="10" s="1"/>
  <c r="C26" i="10"/>
  <c r="I26" i="10" s="1"/>
  <c r="C13" i="10"/>
  <c r="I13" i="10" s="1"/>
  <c r="C12" i="10"/>
  <c r="I12" i="10" s="1"/>
  <c r="C9" i="10"/>
  <c r="I9" i="10" s="1"/>
  <c r="C7" i="10"/>
  <c r="I7" i="10" s="1"/>
  <c r="C6" i="10"/>
  <c r="I6" i="10" s="1"/>
  <c r="C23" i="10"/>
  <c r="I23" i="10" s="1"/>
  <c r="C8" i="10"/>
  <c r="I8" i="10" s="1"/>
  <c r="C10" i="10"/>
  <c r="I10" i="10" s="1"/>
  <c r="C11" i="10"/>
  <c r="I11" i="10" s="1"/>
  <c r="C24" i="10"/>
  <c r="I24" i="10" s="1"/>
  <c r="C25" i="10"/>
  <c r="I25" i="10" s="1"/>
  <c r="C19" i="10" l="1"/>
  <c r="I19" i="10" s="1"/>
  <c r="C18" i="10"/>
  <c r="I18" i="10" s="1"/>
  <c r="C28" i="10"/>
  <c r="I28" i="10" s="1"/>
  <c r="C4" i="10"/>
  <c r="I4" i="10" s="1"/>
  <c r="C31" i="10"/>
  <c r="I31" i="10" s="1"/>
  <c r="C16" i="10"/>
  <c r="I16" i="10" s="1"/>
  <c r="C33" i="10"/>
  <c r="I33" i="10" s="1"/>
  <c r="C20" i="10"/>
  <c r="I20" i="10" s="1"/>
  <c r="C5" i="10"/>
  <c r="I5" i="10" s="1"/>
  <c r="C14" i="10"/>
  <c r="I14" i="10" s="1"/>
  <c r="C29" i="10"/>
  <c r="I29" i="10" s="1"/>
  <c r="C22" i="10"/>
  <c r="I22" i="10" s="1"/>
  <c r="C32" i="10"/>
  <c r="I32" i="10" s="1"/>
  <c r="C15" i="10"/>
  <c r="I15" i="10" s="1"/>
  <c r="C17" i="10"/>
  <c r="I17" i="10" s="1"/>
  <c r="C30" i="10"/>
  <c r="I30" i="10" s="1"/>
  <c r="I34" i="10" l="1"/>
  <c r="E33" i="9" l="1"/>
  <c r="F33" i="9" s="1"/>
  <c r="H33" i="9" s="1"/>
  <c r="D33" i="9"/>
  <c r="H32" i="9"/>
  <c r="G32" i="9"/>
  <c r="F32" i="9"/>
  <c r="E32" i="9"/>
  <c r="D32" i="9"/>
  <c r="E31" i="9"/>
  <c r="G31" i="9" s="1"/>
  <c r="D31" i="9"/>
  <c r="E30" i="9"/>
  <c r="F30" i="9" s="1"/>
  <c r="H30" i="9" s="1"/>
  <c r="D30" i="9"/>
  <c r="E29" i="9"/>
  <c r="F29" i="9" s="1"/>
  <c r="H29" i="9" s="1"/>
  <c r="D29" i="9"/>
  <c r="E28" i="9"/>
  <c r="F28" i="9" s="1"/>
  <c r="H28" i="9" s="1"/>
  <c r="D28" i="9"/>
  <c r="E27" i="9"/>
  <c r="G27" i="9" s="1"/>
  <c r="D27" i="9"/>
  <c r="E26" i="9"/>
  <c r="G26" i="9" s="1"/>
  <c r="D26" i="9"/>
  <c r="E25" i="9"/>
  <c r="G25" i="9" s="1"/>
  <c r="D25" i="9"/>
  <c r="E24" i="9"/>
  <c r="F24" i="9" s="1"/>
  <c r="H24" i="9" s="1"/>
  <c r="D24" i="9"/>
  <c r="G23" i="9"/>
  <c r="F23" i="9"/>
  <c r="H23" i="9" s="1"/>
  <c r="E23" i="9"/>
  <c r="D23" i="9"/>
  <c r="E22" i="9"/>
  <c r="F22" i="9" s="1"/>
  <c r="H22" i="9" s="1"/>
  <c r="D22" i="9"/>
  <c r="E21" i="9"/>
  <c r="G21" i="9" s="1"/>
  <c r="D21" i="9"/>
  <c r="E20" i="9"/>
  <c r="F20" i="9" s="1"/>
  <c r="H20" i="9" s="1"/>
  <c r="D20" i="9"/>
  <c r="E19" i="9"/>
  <c r="G19" i="9" s="1"/>
  <c r="D19" i="9"/>
  <c r="F18" i="9"/>
  <c r="H18" i="9" s="1"/>
  <c r="E18" i="9"/>
  <c r="D18" i="9"/>
  <c r="G18" i="9" s="1"/>
  <c r="E17" i="9"/>
  <c r="F17" i="9" s="1"/>
  <c r="H17" i="9" s="1"/>
  <c r="D17" i="9"/>
  <c r="H16" i="9"/>
  <c r="G16" i="9"/>
  <c r="F16" i="9"/>
  <c r="E16" i="9"/>
  <c r="D16" i="9"/>
  <c r="E15" i="9"/>
  <c r="F15" i="9" s="1"/>
  <c r="H15" i="9" s="1"/>
  <c r="D15" i="9"/>
  <c r="E14" i="9"/>
  <c r="F14" i="9" s="1"/>
  <c r="H14" i="9" s="1"/>
  <c r="D14" i="9"/>
  <c r="E13" i="9"/>
  <c r="G13" i="9" s="1"/>
  <c r="D13" i="9"/>
  <c r="E12" i="9"/>
  <c r="G12" i="9" s="1"/>
  <c r="D12" i="9"/>
  <c r="E11" i="9"/>
  <c r="G11" i="9" s="1"/>
  <c r="D11" i="9"/>
  <c r="E10" i="9"/>
  <c r="G10" i="9" s="1"/>
  <c r="D10" i="9"/>
  <c r="E9" i="9"/>
  <c r="G9" i="9" s="1"/>
  <c r="D9" i="9"/>
  <c r="E8" i="9"/>
  <c r="F8" i="9" s="1"/>
  <c r="H8" i="9" s="1"/>
  <c r="D8" i="9"/>
  <c r="G7" i="9"/>
  <c r="F7" i="9"/>
  <c r="H7" i="9" s="1"/>
  <c r="E7" i="9"/>
  <c r="D7" i="9"/>
  <c r="E6" i="9"/>
  <c r="F6" i="9" s="1"/>
  <c r="H6" i="9" s="1"/>
  <c r="D6" i="9"/>
  <c r="E5" i="9"/>
  <c r="G5" i="9" s="1"/>
  <c r="D5" i="9"/>
  <c r="E4" i="9"/>
  <c r="F4" i="9" s="1"/>
  <c r="H4" i="9" s="1"/>
  <c r="D4" i="9"/>
  <c r="D35" i="9" s="1"/>
  <c r="G14" i="9" l="1"/>
  <c r="F21" i="9"/>
  <c r="H21" i="9" s="1"/>
  <c r="F12" i="9"/>
  <c r="H12" i="9" s="1"/>
  <c r="F10" i="9"/>
  <c r="H10" i="9" s="1"/>
  <c r="G33" i="9"/>
  <c r="G8" i="9"/>
  <c r="F31" i="9"/>
  <c r="H31" i="9" s="1"/>
  <c r="G6" i="9"/>
  <c r="F13" i="9"/>
  <c r="H13" i="9" s="1"/>
  <c r="G22" i="9"/>
  <c r="G29" i="9"/>
  <c r="D34" i="9"/>
  <c r="C34" i="9" s="1"/>
  <c r="G4" i="9"/>
  <c r="G34" i="9" s="1"/>
  <c r="F11" i="9"/>
  <c r="H11" i="9" s="1"/>
  <c r="G20" i="9"/>
  <c r="F27" i="9"/>
  <c r="H27" i="9" s="1"/>
  <c r="G30" i="9"/>
  <c r="F19" i="9"/>
  <c r="H19" i="9" s="1"/>
  <c r="G28" i="9"/>
  <c r="G17" i="9"/>
  <c r="G15" i="9"/>
  <c r="F5" i="9"/>
  <c r="H5" i="9" s="1"/>
  <c r="F26" i="9"/>
  <c r="H26" i="9" s="1"/>
  <c r="G24" i="9"/>
  <c r="F9" i="9"/>
  <c r="H9" i="9" s="1"/>
  <c r="H34" i="9" s="1"/>
  <c r="F25" i="9"/>
  <c r="H25" i="9" s="1"/>
  <c r="C21" i="9" l="1"/>
  <c r="I21" i="9" s="1"/>
  <c r="C7" i="9" l="1"/>
  <c r="I7" i="9" s="1"/>
  <c r="C26" i="9"/>
  <c r="I26" i="9" s="1"/>
  <c r="C9" i="9"/>
  <c r="I9" i="9" s="1"/>
  <c r="C6" i="9"/>
  <c r="I6" i="9" s="1"/>
  <c r="C10" i="9"/>
  <c r="I10" i="9" s="1"/>
  <c r="C11" i="9"/>
  <c r="I11" i="9" s="1"/>
  <c r="C27" i="9"/>
  <c r="I27" i="9" s="1"/>
  <c r="C12" i="9"/>
  <c r="I12" i="9" s="1"/>
  <c r="C8" i="9"/>
  <c r="I8" i="9" s="1"/>
  <c r="C13" i="9"/>
  <c r="I13" i="9" s="1"/>
  <c r="C24" i="9"/>
  <c r="I24" i="9" s="1"/>
  <c r="C23" i="9"/>
  <c r="I23" i="9" s="1"/>
  <c r="C25" i="9"/>
  <c r="I25" i="9" s="1"/>
  <c r="C33" i="9" l="1"/>
  <c r="I33" i="9" s="1"/>
  <c r="C18" i="9"/>
  <c r="I18" i="9" s="1"/>
  <c r="C28" i="9"/>
  <c r="I28" i="9" s="1"/>
  <c r="C4" i="9"/>
  <c r="I4" i="9" s="1"/>
  <c r="C31" i="9"/>
  <c r="I31" i="9" s="1"/>
  <c r="C15" i="9"/>
  <c r="I15" i="9" s="1"/>
  <c r="C16" i="9"/>
  <c r="I16" i="9" s="1"/>
  <c r="C5" i="9"/>
  <c r="I5" i="9" s="1"/>
  <c r="C19" i="9"/>
  <c r="I19" i="9" s="1"/>
  <c r="C14" i="9"/>
  <c r="I14" i="9" s="1"/>
  <c r="C22" i="9"/>
  <c r="I22" i="9" s="1"/>
  <c r="C32" i="9"/>
  <c r="I32" i="9" s="1"/>
  <c r="C20" i="9"/>
  <c r="I20" i="9" s="1"/>
  <c r="C29" i="9"/>
  <c r="I29" i="9" s="1"/>
  <c r="C17" i="9"/>
  <c r="I17" i="9" s="1"/>
  <c r="C30" i="9"/>
  <c r="I30" i="9" s="1"/>
  <c r="I34" i="9" l="1"/>
  <c r="E33" i="8" l="1"/>
  <c r="G33" i="8" s="1"/>
  <c r="D33" i="8"/>
  <c r="E32" i="8"/>
  <c r="G32" i="8" s="1"/>
  <c r="D32" i="8"/>
  <c r="E31" i="8"/>
  <c r="G31" i="8" s="1"/>
  <c r="D31" i="8"/>
  <c r="E30" i="8"/>
  <c r="F30" i="8" s="1"/>
  <c r="H30" i="8" s="1"/>
  <c r="D30" i="8"/>
  <c r="E29" i="8"/>
  <c r="F29" i="8" s="1"/>
  <c r="H29" i="8" s="1"/>
  <c r="D29" i="8"/>
  <c r="E28" i="8"/>
  <c r="G28" i="8" s="1"/>
  <c r="D28" i="8"/>
  <c r="H27" i="8"/>
  <c r="G27" i="8"/>
  <c r="F27" i="8"/>
  <c r="E27" i="8"/>
  <c r="D27" i="8"/>
  <c r="E26" i="8"/>
  <c r="G26" i="8" s="1"/>
  <c r="D26" i="8"/>
  <c r="E25" i="8"/>
  <c r="G25" i="8" s="1"/>
  <c r="D25" i="8"/>
  <c r="E24" i="8"/>
  <c r="G24" i="8" s="1"/>
  <c r="D24" i="8"/>
  <c r="E23" i="8"/>
  <c r="G23" i="8" s="1"/>
  <c r="D23" i="8"/>
  <c r="E22" i="8"/>
  <c r="F22" i="8" s="1"/>
  <c r="H22" i="8" s="1"/>
  <c r="D22" i="8"/>
  <c r="E21" i="8"/>
  <c r="G21" i="8" s="1"/>
  <c r="D21" i="8"/>
  <c r="E20" i="8"/>
  <c r="G20" i="8" s="1"/>
  <c r="D20" i="8"/>
  <c r="E19" i="8"/>
  <c r="G19" i="8" s="1"/>
  <c r="D19" i="8"/>
  <c r="G18" i="8"/>
  <c r="F18" i="8"/>
  <c r="H18" i="8" s="1"/>
  <c r="E18" i="8"/>
  <c r="D18" i="8"/>
  <c r="E17" i="8"/>
  <c r="G17" i="8" s="1"/>
  <c r="D17" i="8"/>
  <c r="E16" i="8"/>
  <c r="G16" i="8" s="1"/>
  <c r="D16" i="8"/>
  <c r="E15" i="8"/>
  <c r="F15" i="8" s="1"/>
  <c r="H15" i="8" s="1"/>
  <c r="D15" i="8"/>
  <c r="E14" i="8"/>
  <c r="F14" i="8" s="1"/>
  <c r="H14" i="8" s="1"/>
  <c r="D14" i="8"/>
  <c r="E13" i="8"/>
  <c r="G13" i="8" s="1"/>
  <c r="D13" i="8"/>
  <c r="E12" i="8"/>
  <c r="F12" i="8" s="1"/>
  <c r="H12" i="8" s="1"/>
  <c r="D12" i="8"/>
  <c r="H11" i="8"/>
  <c r="G11" i="8"/>
  <c r="F11" i="8"/>
  <c r="E11" i="8"/>
  <c r="D11" i="8"/>
  <c r="E10" i="8"/>
  <c r="G10" i="8" s="1"/>
  <c r="D10" i="8"/>
  <c r="E9" i="8"/>
  <c r="G9" i="8" s="1"/>
  <c r="D9" i="8"/>
  <c r="E8" i="8"/>
  <c r="G8" i="8" s="1"/>
  <c r="D8" i="8"/>
  <c r="E7" i="8"/>
  <c r="G7" i="8" s="1"/>
  <c r="D7" i="8"/>
  <c r="D35" i="8" s="1"/>
  <c r="E6" i="8"/>
  <c r="F6" i="8" s="1"/>
  <c r="H6" i="8" s="1"/>
  <c r="D6" i="8"/>
  <c r="E5" i="8"/>
  <c r="F5" i="8" s="1"/>
  <c r="H5" i="8" s="1"/>
  <c r="D5" i="8"/>
  <c r="E4" i="8"/>
  <c r="G4" i="8" s="1"/>
  <c r="D4" i="8"/>
  <c r="D34" i="8" s="1"/>
  <c r="C34" i="8" s="1"/>
  <c r="G14" i="8" l="1"/>
  <c r="F21" i="8"/>
  <c r="H21" i="8" s="1"/>
  <c r="G30" i="8"/>
  <c r="G5" i="8"/>
  <c r="G34" i="8" s="1"/>
  <c r="G12" i="8"/>
  <c r="F19" i="8"/>
  <c r="H19" i="8" s="1"/>
  <c r="F10" i="8"/>
  <c r="H10" i="8" s="1"/>
  <c r="F17" i="8"/>
  <c r="H17" i="8" s="1"/>
  <c r="F8" i="8"/>
  <c r="H8" i="8" s="1"/>
  <c r="F31" i="8"/>
  <c r="H31" i="8" s="1"/>
  <c r="G15" i="8"/>
  <c r="G6" i="8"/>
  <c r="F13" i="8"/>
  <c r="H13" i="8" s="1"/>
  <c r="G22" i="8"/>
  <c r="F4" i="8"/>
  <c r="H4" i="8" s="1"/>
  <c r="F20" i="8"/>
  <c r="H20" i="8" s="1"/>
  <c r="G29" i="8"/>
  <c r="F9" i="8"/>
  <c r="H9" i="8" s="1"/>
  <c r="F25" i="8"/>
  <c r="H25" i="8" s="1"/>
  <c r="F16" i="8"/>
  <c r="H16" i="8" s="1"/>
  <c r="F32" i="8"/>
  <c r="H32" i="8" s="1"/>
  <c r="F7" i="8"/>
  <c r="H7" i="8" s="1"/>
  <c r="F23" i="8"/>
  <c r="H23" i="8" s="1"/>
  <c r="F28" i="8"/>
  <c r="H28" i="8" s="1"/>
  <c r="F26" i="8"/>
  <c r="H26" i="8" s="1"/>
  <c r="F33" i="8"/>
  <c r="H33" i="8" s="1"/>
  <c r="F24" i="8"/>
  <c r="H24" i="8" s="1"/>
  <c r="H34" i="8" l="1"/>
  <c r="C21" i="8" l="1"/>
  <c r="I21" i="8" s="1"/>
  <c r="C26" i="8" l="1"/>
  <c r="I26" i="8" s="1"/>
  <c r="C10" i="8"/>
  <c r="I10" i="8" s="1"/>
  <c r="C27" i="8"/>
  <c r="I27" i="8" s="1"/>
  <c r="C9" i="8"/>
  <c r="I9" i="8" s="1"/>
  <c r="C8" i="8"/>
  <c r="I8" i="8" s="1"/>
  <c r="C13" i="8"/>
  <c r="I13" i="8" s="1"/>
  <c r="C23" i="8"/>
  <c r="I23" i="8" s="1"/>
  <c r="C11" i="8"/>
  <c r="I11" i="8" s="1"/>
  <c r="C12" i="8"/>
  <c r="I12" i="8" s="1"/>
  <c r="C7" i="8"/>
  <c r="I7" i="8" s="1"/>
  <c r="C6" i="8"/>
  <c r="I6" i="8" s="1"/>
  <c r="C24" i="8"/>
  <c r="I24" i="8" s="1"/>
  <c r="C25" i="8"/>
  <c r="I25" i="8" s="1"/>
  <c r="C4" i="8" l="1"/>
  <c r="I4" i="8" s="1"/>
  <c r="C32" i="8"/>
  <c r="I32" i="8" s="1"/>
  <c r="C14" i="8"/>
  <c r="I14" i="8" s="1"/>
  <c r="C29" i="8"/>
  <c r="I29" i="8" s="1"/>
  <c r="C15" i="8"/>
  <c r="I15" i="8" s="1"/>
  <c r="C22" i="8"/>
  <c r="I22" i="8" s="1"/>
  <c r="C28" i="8"/>
  <c r="I28" i="8" s="1"/>
  <c r="C16" i="8"/>
  <c r="I16" i="8" s="1"/>
  <c r="C5" i="8"/>
  <c r="I5" i="8" s="1"/>
  <c r="C33" i="8"/>
  <c r="I33" i="8" s="1"/>
  <c r="C18" i="8"/>
  <c r="I18" i="8" s="1"/>
  <c r="C19" i="8"/>
  <c r="I19" i="8" s="1"/>
  <c r="C20" i="8"/>
  <c r="I20" i="8" s="1"/>
  <c r="C31" i="8"/>
  <c r="I31" i="8" s="1"/>
  <c r="C17" i="8"/>
  <c r="I17" i="8" s="1"/>
  <c r="C30" i="8"/>
  <c r="I30" i="8" s="1"/>
  <c r="I34" i="8" l="1"/>
  <c r="E33" i="7" l="1"/>
  <c r="G33" i="7" s="1"/>
  <c r="D33" i="7"/>
  <c r="G32" i="7"/>
  <c r="E32" i="7"/>
  <c r="F32" i="7" s="1"/>
  <c r="H32" i="7" s="1"/>
  <c r="D32" i="7"/>
  <c r="E31" i="7"/>
  <c r="G31" i="7" s="1"/>
  <c r="D31" i="7"/>
  <c r="E30" i="7"/>
  <c r="G30" i="7" s="1"/>
  <c r="D30" i="7"/>
  <c r="E29" i="7"/>
  <c r="G29" i="7" s="1"/>
  <c r="D29" i="7"/>
  <c r="E28" i="7"/>
  <c r="G28" i="7" s="1"/>
  <c r="D28" i="7"/>
  <c r="E27" i="7"/>
  <c r="F27" i="7" s="1"/>
  <c r="H27" i="7" s="1"/>
  <c r="D27" i="7"/>
  <c r="E26" i="7"/>
  <c r="G26" i="7" s="1"/>
  <c r="D26" i="7"/>
  <c r="H25" i="7"/>
  <c r="F25" i="7"/>
  <c r="E25" i="7"/>
  <c r="G25" i="7" s="1"/>
  <c r="D25" i="7"/>
  <c r="E24" i="7"/>
  <c r="G24" i="7" s="1"/>
  <c r="D24" i="7"/>
  <c r="G23" i="7"/>
  <c r="F23" i="7"/>
  <c r="H23" i="7" s="1"/>
  <c r="E23" i="7"/>
  <c r="D23" i="7"/>
  <c r="E22" i="7"/>
  <c r="G22" i="7" s="1"/>
  <c r="D22" i="7"/>
  <c r="E21" i="7"/>
  <c r="F21" i="7" s="1"/>
  <c r="H21" i="7" s="1"/>
  <c r="D21" i="7"/>
  <c r="E20" i="7"/>
  <c r="G20" i="7" s="1"/>
  <c r="D20" i="7"/>
  <c r="E19" i="7"/>
  <c r="G19" i="7" s="1"/>
  <c r="D19" i="7"/>
  <c r="E18" i="7"/>
  <c r="G18" i="7" s="1"/>
  <c r="D18" i="7"/>
  <c r="E17" i="7"/>
  <c r="F17" i="7" s="1"/>
  <c r="H17" i="7" s="1"/>
  <c r="D17" i="7"/>
  <c r="G16" i="7"/>
  <c r="E16" i="7"/>
  <c r="F16" i="7" s="1"/>
  <c r="H16" i="7" s="1"/>
  <c r="D16" i="7"/>
  <c r="E15" i="7"/>
  <c r="F15" i="7" s="1"/>
  <c r="H15" i="7" s="1"/>
  <c r="D15" i="7"/>
  <c r="E14" i="7"/>
  <c r="G14" i="7" s="1"/>
  <c r="D14" i="7"/>
  <c r="E13" i="7"/>
  <c r="F13" i="7" s="1"/>
  <c r="H13" i="7" s="1"/>
  <c r="D13" i="7"/>
  <c r="E12" i="7"/>
  <c r="G12" i="7" s="1"/>
  <c r="D12" i="7"/>
  <c r="E11" i="7"/>
  <c r="F11" i="7" s="1"/>
  <c r="H11" i="7" s="1"/>
  <c r="D11" i="7"/>
  <c r="E10" i="7"/>
  <c r="G10" i="7" s="1"/>
  <c r="D10" i="7"/>
  <c r="H9" i="7"/>
  <c r="F9" i="7"/>
  <c r="E9" i="7"/>
  <c r="G9" i="7" s="1"/>
  <c r="D9" i="7"/>
  <c r="E8" i="7"/>
  <c r="G8" i="7" s="1"/>
  <c r="D8" i="7"/>
  <c r="G7" i="7"/>
  <c r="F7" i="7"/>
  <c r="H7" i="7" s="1"/>
  <c r="E7" i="7"/>
  <c r="D7" i="7"/>
  <c r="E6" i="7"/>
  <c r="G6" i="7" s="1"/>
  <c r="D6" i="7"/>
  <c r="E5" i="7"/>
  <c r="G5" i="7" s="1"/>
  <c r="D5" i="7"/>
  <c r="E4" i="7"/>
  <c r="G4" i="7" s="1"/>
  <c r="D4" i="7"/>
  <c r="D35" i="7" s="1"/>
  <c r="F14" i="7" l="1"/>
  <c r="H14" i="7" s="1"/>
  <c r="F30" i="7"/>
  <c r="H30" i="7" s="1"/>
  <c r="F10" i="7"/>
  <c r="H10" i="7" s="1"/>
  <c r="F26" i="7"/>
  <c r="H26" i="7" s="1"/>
  <c r="F31" i="7"/>
  <c r="H31" i="7" s="1"/>
  <c r="F6" i="7"/>
  <c r="H6" i="7" s="1"/>
  <c r="G15" i="7"/>
  <c r="F22" i="7"/>
  <c r="H22" i="7" s="1"/>
  <c r="F4" i="7"/>
  <c r="H4" i="7" s="1"/>
  <c r="G13" i="7"/>
  <c r="G11" i="7"/>
  <c r="G34" i="7" s="1"/>
  <c r="F18" i="7"/>
  <c r="H18" i="7" s="1"/>
  <c r="G27" i="7"/>
  <c r="F12" i="7"/>
  <c r="H12" i="7" s="1"/>
  <c r="G21" i="7"/>
  <c r="F19" i="7"/>
  <c r="H19" i="7" s="1"/>
  <c r="F33" i="7"/>
  <c r="H33" i="7" s="1"/>
  <c r="F8" i="7"/>
  <c r="H8" i="7" s="1"/>
  <c r="G17" i="7"/>
  <c r="F24" i="7"/>
  <c r="H24" i="7" s="1"/>
  <c r="F29" i="7"/>
  <c r="H29" i="7" s="1"/>
  <c r="F20" i="7"/>
  <c r="H20" i="7" s="1"/>
  <c r="D34" i="7"/>
  <c r="C34" i="7" s="1"/>
  <c r="F5" i="7"/>
  <c r="H5" i="7" s="1"/>
  <c r="F28" i="7"/>
  <c r="H28" i="7" s="1"/>
  <c r="H34" i="7" l="1"/>
  <c r="C21" i="7" l="1"/>
  <c r="I21" i="7" s="1"/>
  <c r="C8" i="7" l="1"/>
  <c r="I8" i="7" s="1"/>
  <c r="C9" i="7"/>
  <c r="I9" i="7" s="1"/>
  <c r="C11" i="7"/>
  <c r="I11" i="7" s="1"/>
  <c r="C12" i="7"/>
  <c r="I12" i="7" s="1"/>
  <c r="C6" i="7"/>
  <c r="I6" i="7" s="1"/>
  <c r="C26" i="7"/>
  <c r="I26" i="7" s="1"/>
  <c r="C27" i="7"/>
  <c r="I27" i="7" s="1"/>
  <c r="C24" i="7"/>
  <c r="I24" i="7" s="1"/>
  <c r="C23" i="7"/>
  <c r="I23" i="7" s="1"/>
  <c r="C10" i="7"/>
  <c r="I10" i="7" s="1"/>
  <c r="C13" i="7"/>
  <c r="I13" i="7" s="1"/>
  <c r="C7" i="7"/>
  <c r="I7" i="7" s="1"/>
  <c r="C25" i="7"/>
  <c r="I25" i="7" s="1"/>
  <c r="C14" i="7" l="1"/>
  <c r="I14" i="7" s="1"/>
  <c r="C15" i="7"/>
  <c r="I15" i="7" s="1"/>
  <c r="C18" i="7"/>
  <c r="I18" i="7" s="1"/>
  <c r="C4" i="7"/>
  <c r="I4" i="7" s="1"/>
  <c r="C20" i="7"/>
  <c r="I20" i="7" s="1"/>
  <c r="C32" i="7"/>
  <c r="I32" i="7" s="1"/>
  <c r="C29" i="7"/>
  <c r="I29" i="7" s="1"/>
  <c r="C5" i="7"/>
  <c r="I5" i="7" s="1"/>
  <c r="C28" i="7"/>
  <c r="I28" i="7" s="1"/>
  <c r="C19" i="7"/>
  <c r="I19" i="7" s="1"/>
  <c r="C22" i="7"/>
  <c r="I22" i="7" s="1"/>
  <c r="C33" i="7"/>
  <c r="I33" i="7" s="1"/>
  <c r="C31" i="7"/>
  <c r="I31" i="7" s="1"/>
  <c r="C16" i="7"/>
  <c r="I16" i="7" s="1"/>
  <c r="C17" i="7"/>
  <c r="I17" i="7" s="1"/>
  <c r="C30" i="7"/>
  <c r="I30" i="7" s="1"/>
  <c r="I34" i="7" l="1"/>
  <c r="E33" i="6" l="1"/>
  <c r="G33" i="6" s="1"/>
  <c r="D33" i="6"/>
  <c r="E32" i="6"/>
  <c r="G32" i="6" s="1"/>
  <c r="D32" i="6"/>
  <c r="E31" i="6"/>
  <c r="G31" i="6" s="1"/>
  <c r="D31" i="6"/>
  <c r="F30" i="6"/>
  <c r="H30" i="6" s="1"/>
  <c r="E30" i="6"/>
  <c r="G30" i="6" s="1"/>
  <c r="D30" i="6"/>
  <c r="E29" i="6"/>
  <c r="G29" i="6" s="1"/>
  <c r="D29" i="6"/>
  <c r="E28" i="6"/>
  <c r="D28" i="6"/>
  <c r="G27" i="6"/>
  <c r="E27" i="6"/>
  <c r="F27" i="6" s="1"/>
  <c r="H27" i="6" s="1"/>
  <c r="D27" i="6"/>
  <c r="E26" i="6"/>
  <c r="G26" i="6" s="1"/>
  <c r="D26" i="6"/>
  <c r="E25" i="6"/>
  <c r="F25" i="6" s="1"/>
  <c r="H25" i="6" s="1"/>
  <c r="D25" i="6"/>
  <c r="E24" i="6"/>
  <c r="G24" i="6" s="1"/>
  <c r="D24" i="6"/>
  <c r="E23" i="6"/>
  <c r="G23" i="6" s="1"/>
  <c r="D23" i="6"/>
  <c r="E22" i="6"/>
  <c r="G22" i="6" s="1"/>
  <c r="D22" i="6"/>
  <c r="E21" i="6"/>
  <c r="D21" i="6"/>
  <c r="E20" i="6"/>
  <c r="G20" i="6" s="1"/>
  <c r="D20" i="6"/>
  <c r="E19" i="6"/>
  <c r="G19" i="6" s="1"/>
  <c r="D19" i="6"/>
  <c r="G18" i="6"/>
  <c r="F18" i="6"/>
  <c r="H18" i="6" s="1"/>
  <c r="E18" i="6"/>
  <c r="D18" i="6"/>
  <c r="E17" i="6"/>
  <c r="G17" i="6" s="1"/>
  <c r="D17" i="6"/>
  <c r="E16" i="6"/>
  <c r="G16" i="6" s="1"/>
  <c r="D16" i="6"/>
  <c r="E15" i="6"/>
  <c r="G15" i="6" s="1"/>
  <c r="D15" i="6"/>
  <c r="E14" i="6"/>
  <c r="D14" i="6"/>
  <c r="E13" i="6"/>
  <c r="G13" i="6" s="1"/>
  <c r="D13" i="6"/>
  <c r="E12" i="6"/>
  <c r="D12" i="6"/>
  <c r="H11" i="6"/>
  <c r="G11" i="6"/>
  <c r="E11" i="6"/>
  <c r="F11" i="6" s="1"/>
  <c r="D11" i="6"/>
  <c r="E10" i="6"/>
  <c r="G10" i="6" s="1"/>
  <c r="D10" i="6"/>
  <c r="E9" i="6"/>
  <c r="G9" i="6" s="1"/>
  <c r="D9" i="6"/>
  <c r="E8" i="6"/>
  <c r="G8" i="6" s="1"/>
  <c r="D8" i="6"/>
  <c r="E7" i="6"/>
  <c r="G7" i="6" s="1"/>
  <c r="D7" i="6"/>
  <c r="E6" i="6"/>
  <c r="G6" i="6" s="1"/>
  <c r="D6" i="6"/>
  <c r="E5" i="6"/>
  <c r="F5" i="6" s="1"/>
  <c r="H5" i="6" s="1"/>
  <c r="D5" i="6"/>
  <c r="D35" i="6" s="1"/>
  <c r="E4" i="6"/>
  <c r="G4" i="6" s="1"/>
  <c r="D4" i="6"/>
  <c r="F16" i="6" l="1"/>
  <c r="H16" i="6" s="1"/>
  <c r="G12" i="6"/>
  <c r="G34" i="6" s="1"/>
  <c r="F12" i="6"/>
  <c r="H12" i="6" s="1"/>
  <c r="F9" i="6"/>
  <c r="H9" i="6" s="1"/>
  <c r="G28" i="6"/>
  <c r="G25" i="6"/>
  <c r="F32" i="6"/>
  <c r="H32" i="6" s="1"/>
  <c r="G21" i="6"/>
  <c r="F21" i="6"/>
  <c r="H21" i="6" s="1"/>
  <c r="G14" i="6"/>
  <c r="F7" i="6"/>
  <c r="H7" i="6" s="1"/>
  <c r="F14" i="6"/>
  <c r="H14" i="6" s="1"/>
  <c r="D34" i="6"/>
  <c r="C34" i="6" s="1"/>
  <c r="F23" i="6"/>
  <c r="H23" i="6" s="1"/>
  <c r="G5" i="6"/>
  <c r="F28" i="6"/>
  <c r="H28" i="6" s="1"/>
  <c r="F19" i="6"/>
  <c r="H19" i="6" s="1"/>
  <c r="F10" i="6"/>
  <c r="H10" i="6" s="1"/>
  <c r="F26" i="6"/>
  <c r="H26" i="6" s="1"/>
  <c r="F17" i="6"/>
  <c r="H17" i="6" s="1"/>
  <c r="F33" i="6"/>
  <c r="H33" i="6" s="1"/>
  <c r="F8" i="6"/>
  <c r="H8" i="6" s="1"/>
  <c r="F24" i="6"/>
  <c r="H24" i="6" s="1"/>
  <c r="F15" i="6"/>
  <c r="H15" i="6" s="1"/>
  <c r="F31" i="6"/>
  <c r="H31" i="6" s="1"/>
  <c r="F6" i="6"/>
  <c r="H6" i="6" s="1"/>
  <c r="F22" i="6"/>
  <c r="H22" i="6" s="1"/>
  <c r="F13" i="6"/>
  <c r="H13" i="6" s="1"/>
  <c r="F29" i="6"/>
  <c r="H29" i="6" s="1"/>
  <c r="F4" i="6"/>
  <c r="H4" i="6" s="1"/>
  <c r="F20" i="6"/>
  <c r="H20" i="6" s="1"/>
  <c r="H34" i="6" l="1"/>
  <c r="C21" i="6" l="1"/>
  <c r="I21" i="6" s="1"/>
  <c r="C8" i="6" l="1"/>
  <c r="I8" i="6" s="1"/>
  <c r="C11" i="6"/>
  <c r="I11" i="6" s="1"/>
  <c r="C12" i="6"/>
  <c r="I12" i="6" s="1"/>
  <c r="C26" i="6"/>
  <c r="I26" i="6" s="1"/>
  <c r="C10" i="6"/>
  <c r="I10" i="6" s="1"/>
  <c r="C7" i="6"/>
  <c r="I7" i="6" s="1"/>
  <c r="C13" i="6"/>
  <c r="I13" i="6" s="1"/>
  <c r="C6" i="6"/>
  <c r="I6" i="6" s="1"/>
  <c r="C23" i="6"/>
  <c r="I23" i="6" s="1"/>
  <c r="C9" i="6"/>
  <c r="I9" i="6" s="1"/>
  <c r="C27" i="6"/>
  <c r="I27" i="6" s="1"/>
  <c r="C24" i="6"/>
  <c r="I24" i="6" s="1"/>
  <c r="C25" i="6"/>
  <c r="I25" i="6" s="1"/>
  <c r="C31" i="6" l="1"/>
  <c r="I31" i="6" s="1"/>
  <c r="C18" i="6"/>
  <c r="I18" i="6" s="1"/>
  <c r="C19" i="6"/>
  <c r="I19" i="6" s="1"/>
  <c r="C16" i="6"/>
  <c r="I16" i="6" s="1"/>
  <c r="C5" i="6"/>
  <c r="I5" i="6" s="1"/>
  <c r="C28" i="6"/>
  <c r="I28" i="6" s="1"/>
  <c r="C4" i="6"/>
  <c r="I4" i="6" s="1"/>
  <c r="C14" i="6"/>
  <c r="I14" i="6" s="1"/>
  <c r="C29" i="6"/>
  <c r="I29" i="6" s="1"/>
  <c r="C33" i="6"/>
  <c r="I33" i="6" s="1"/>
  <c r="C15" i="6"/>
  <c r="I15" i="6" s="1"/>
  <c r="C22" i="6"/>
  <c r="I22" i="6" s="1"/>
  <c r="C20" i="6"/>
  <c r="I20" i="6" s="1"/>
  <c r="C32" i="6"/>
  <c r="I32" i="6" s="1"/>
  <c r="C17" i="6"/>
  <c r="I17" i="6" s="1"/>
  <c r="C30" i="6"/>
  <c r="I30" i="6" s="1"/>
  <c r="I34" i="6" l="1"/>
  <c r="E33" i="5" l="1"/>
  <c r="G33" i="5" s="1"/>
  <c r="D33" i="5"/>
  <c r="H32" i="5"/>
  <c r="G32" i="5"/>
  <c r="F32" i="5"/>
  <c r="E32" i="5"/>
  <c r="D32" i="5"/>
  <c r="F31" i="5"/>
  <c r="H31" i="5" s="1"/>
  <c r="E31" i="5"/>
  <c r="D31" i="5"/>
  <c r="G31" i="5" s="1"/>
  <c r="G30" i="5"/>
  <c r="F30" i="5"/>
  <c r="H30" i="5" s="1"/>
  <c r="E30" i="5"/>
  <c r="D30" i="5"/>
  <c r="E29" i="5"/>
  <c r="G29" i="5" s="1"/>
  <c r="D29" i="5"/>
  <c r="E28" i="5"/>
  <c r="G28" i="5" s="1"/>
  <c r="D28" i="5"/>
  <c r="E27" i="5"/>
  <c r="G27" i="5" s="1"/>
  <c r="D27" i="5"/>
  <c r="E26" i="5"/>
  <c r="F26" i="5" s="1"/>
  <c r="H26" i="5" s="1"/>
  <c r="D26" i="5"/>
  <c r="H25" i="5"/>
  <c r="G25" i="5"/>
  <c r="F25" i="5"/>
  <c r="E25" i="5"/>
  <c r="D25" i="5"/>
  <c r="E24" i="5"/>
  <c r="G24" i="5" s="1"/>
  <c r="D24" i="5"/>
  <c r="H23" i="5"/>
  <c r="G23" i="5"/>
  <c r="F23" i="5"/>
  <c r="E23" i="5"/>
  <c r="D23" i="5"/>
  <c r="E22" i="5"/>
  <c r="G22" i="5" s="1"/>
  <c r="D22" i="5"/>
  <c r="E21" i="5"/>
  <c r="F21" i="5" s="1"/>
  <c r="H21" i="5" s="1"/>
  <c r="D21" i="5"/>
  <c r="E20" i="5"/>
  <c r="G20" i="5" s="1"/>
  <c r="D20" i="5"/>
  <c r="E19" i="5"/>
  <c r="G19" i="5" s="1"/>
  <c r="D19" i="5"/>
  <c r="G18" i="5"/>
  <c r="E18" i="5"/>
  <c r="F18" i="5" s="1"/>
  <c r="H18" i="5" s="1"/>
  <c r="D18" i="5"/>
  <c r="E17" i="5"/>
  <c r="G17" i="5" s="1"/>
  <c r="D17" i="5"/>
  <c r="H16" i="5"/>
  <c r="G16" i="5"/>
  <c r="F16" i="5"/>
  <c r="E16" i="5"/>
  <c r="D16" i="5"/>
  <c r="F15" i="5"/>
  <c r="H15" i="5" s="1"/>
  <c r="E15" i="5"/>
  <c r="D15" i="5"/>
  <c r="G15" i="5" s="1"/>
  <c r="G14" i="5"/>
  <c r="F14" i="5"/>
  <c r="H14" i="5" s="1"/>
  <c r="E14" i="5"/>
  <c r="D14" i="5"/>
  <c r="E13" i="5"/>
  <c r="G13" i="5" s="1"/>
  <c r="D13" i="5"/>
  <c r="E12" i="5"/>
  <c r="G12" i="5" s="1"/>
  <c r="D12" i="5"/>
  <c r="E11" i="5"/>
  <c r="G11" i="5" s="1"/>
  <c r="D11" i="5"/>
  <c r="E10" i="5"/>
  <c r="F10" i="5" s="1"/>
  <c r="H10" i="5" s="1"/>
  <c r="D10" i="5"/>
  <c r="H9" i="5"/>
  <c r="G9" i="5"/>
  <c r="F9" i="5"/>
  <c r="E9" i="5"/>
  <c r="D9" i="5"/>
  <c r="E8" i="5"/>
  <c r="G8" i="5" s="1"/>
  <c r="D8" i="5"/>
  <c r="H7" i="5"/>
  <c r="G7" i="5"/>
  <c r="F7" i="5"/>
  <c r="E7" i="5"/>
  <c r="D7" i="5"/>
  <c r="E6" i="5"/>
  <c r="G6" i="5" s="1"/>
  <c r="D6" i="5"/>
  <c r="E5" i="5"/>
  <c r="G5" i="5" s="1"/>
  <c r="D5" i="5"/>
  <c r="E4" i="5"/>
  <c r="G4" i="5" s="1"/>
  <c r="D4" i="5"/>
  <c r="D35" i="5" s="1"/>
  <c r="G10" i="5" l="1"/>
  <c r="G34" i="5" s="1"/>
  <c r="F17" i="5"/>
  <c r="H17" i="5" s="1"/>
  <c r="G26" i="5"/>
  <c r="F33" i="5"/>
  <c r="H33" i="5" s="1"/>
  <c r="F8" i="5"/>
  <c r="H8" i="5" s="1"/>
  <c r="F24" i="5"/>
  <c r="H24" i="5" s="1"/>
  <c r="F12" i="5"/>
  <c r="H12" i="5" s="1"/>
  <c r="F28" i="5"/>
  <c r="H28" i="5" s="1"/>
  <c r="F19" i="5"/>
  <c r="H19" i="5" s="1"/>
  <c r="F22" i="5"/>
  <c r="H22" i="5" s="1"/>
  <c r="F13" i="5"/>
  <c r="H13" i="5" s="1"/>
  <c r="F4" i="5"/>
  <c r="H4" i="5" s="1"/>
  <c r="F20" i="5"/>
  <c r="H20" i="5" s="1"/>
  <c r="D34" i="5"/>
  <c r="C34" i="5" s="1"/>
  <c r="F11" i="5"/>
  <c r="H11" i="5" s="1"/>
  <c r="F27" i="5"/>
  <c r="H27" i="5" s="1"/>
  <c r="F5" i="5"/>
  <c r="H5" i="5" s="1"/>
  <c r="G21" i="5"/>
  <c r="F6" i="5"/>
  <c r="H6" i="5" s="1"/>
  <c r="F29" i="5"/>
  <c r="H29" i="5" s="1"/>
  <c r="H34" i="5" l="1"/>
  <c r="C21" i="5" l="1"/>
  <c r="I21" i="5" s="1"/>
  <c r="C8" i="5" l="1"/>
  <c r="I8" i="5" s="1"/>
  <c r="C26" i="5"/>
  <c r="I26" i="5" s="1"/>
  <c r="C27" i="5"/>
  <c r="I27" i="5" s="1"/>
  <c r="C6" i="5"/>
  <c r="I6" i="5" s="1"/>
  <c r="C12" i="5"/>
  <c r="I12" i="5" s="1"/>
  <c r="C13" i="5"/>
  <c r="I13" i="5" s="1"/>
  <c r="C11" i="5"/>
  <c r="I11" i="5" s="1"/>
  <c r="C7" i="5"/>
  <c r="I7" i="5" s="1"/>
  <c r="C23" i="5"/>
  <c r="I23" i="5" s="1"/>
  <c r="C9" i="5"/>
  <c r="I9" i="5" s="1"/>
  <c r="C10" i="5"/>
  <c r="I10" i="5" s="1"/>
  <c r="C24" i="5"/>
  <c r="I24" i="5" s="1"/>
  <c r="C25" i="5"/>
  <c r="I25" i="5" s="1"/>
  <c r="C33" i="5" l="1"/>
  <c r="I33" i="5" s="1"/>
  <c r="C18" i="5"/>
  <c r="I18" i="5" s="1"/>
  <c r="C14" i="5"/>
  <c r="I14" i="5" s="1"/>
  <c r="C19" i="5"/>
  <c r="I19" i="5" s="1"/>
  <c r="C5" i="5"/>
  <c r="I5" i="5" s="1"/>
  <c r="C15" i="5"/>
  <c r="I15" i="5" s="1"/>
  <c r="C31" i="5"/>
  <c r="I31" i="5" s="1"/>
  <c r="C29" i="5"/>
  <c r="I29" i="5" s="1"/>
  <c r="C22" i="5"/>
  <c r="I22" i="5" s="1"/>
  <c r="C28" i="5"/>
  <c r="I28" i="5" s="1"/>
  <c r="C4" i="5"/>
  <c r="I4" i="5" s="1"/>
  <c r="C20" i="5"/>
  <c r="I20" i="5" s="1"/>
  <c r="C32" i="5"/>
  <c r="I32" i="5" s="1"/>
  <c r="C16" i="5"/>
  <c r="I16" i="5" s="1"/>
  <c r="C17" i="5"/>
  <c r="I17" i="5" s="1"/>
  <c r="C30" i="5"/>
  <c r="I30" i="5" s="1"/>
  <c r="I34" i="5" l="1"/>
  <c r="E33" i="4" l="1"/>
  <c r="F33" i="4" s="1"/>
  <c r="H33" i="4" s="1"/>
  <c r="D33" i="4"/>
  <c r="H32" i="4"/>
  <c r="G32" i="4"/>
  <c r="F32" i="4"/>
  <c r="E32" i="4"/>
  <c r="D32" i="4"/>
  <c r="E31" i="4"/>
  <c r="G31" i="4" s="1"/>
  <c r="D31" i="4"/>
  <c r="E30" i="4"/>
  <c r="F30" i="4" s="1"/>
  <c r="H30" i="4" s="1"/>
  <c r="D30" i="4"/>
  <c r="G29" i="4"/>
  <c r="F29" i="4"/>
  <c r="H29" i="4" s="1"/>
  <c r="E29" i="4"/>
  <c r="D29" i="4"/>
  <c r="E28" i="4"/>
  <c r="F28" i="4" s="1"/>
  <c r="H28" i="4" s="1"/>
  <c r="D28" i="4"/>
  <c r="E27" i="4"/>
  <c r="G27" i="4" s="1"/>
  <c r="D27" i="4"/>
  <c r="E26" i="4"/>
  <c r="G26" i="4" s="1"/>
  <c r="D26" i="4"/>
  <c r="H25" i="4"/>
  <c r="F25" i="4"/>
  <c r="E25" i="4"/>
  <c r="D25" i="4"/>
  <c r="G25" i="4" s="1"/>
  <c r="E24" i="4"/>
  <c r="G24" i="4" s="1"/>
  <c r="D24" i="4"/>
  <c r="G23" i="4"/>
  <c r="F23" i="4"/>
  <c r="H23" i="4" s="1"/>
  <c r="E23" i="4"/>
  <c r="D23" i="4"/>
  <c r="G22" i="4"/>
  <c r="E22" i="4"/>
  <c r="F22" i="4" s="1"/>
  <c r="H22" i="4" s="1"/>
  <c r="D22" i="4"/>
  <c r="E21" i="4"/>
  <c r="G21" i="4" s="1"/>
  <c r="D21" i="4"/>
  <c r="E20" i="4"/>
  <c r="F20" i="4" s="1"/>
  <c r="H20" i="4" s="1"/>
  <c r="D20" i="4"/>
  <c r="E19" i="4"/>
  <c r="F19" i="4" s="1"/>
  <c r="H19" i="4" s="1"/>
  <c r="D19" i="4"/>
  <c r="E18" i="4"/>
  <c r="G18" i="4" s="1"/>
  <c r="D18" i="4"/>
  <c r="E17" i="4"/>
  <c r="G17" i="4" s="1"/>
  <c r="D17" i="4"/>
  <c r="H16" i="4"/>
  <c r="G16" i="4"/>
  <c r="F16" i="4"/>
  <c r="E16" i="4"/>
  <c r="D16" i="4"/>
  <c r="E15" i="4"/>
  <c r="G15" i="4" s="1"/>
  <c r="D15" i="4"/>
  <c r="E14" i="4"/>
  <c r="F14" i="4" s="1"/>
  <c r="H14" i="4" s="1"/>
  <c r="D14" i="4"/>
  <c r="G13" i="4"/>
  <c r="F13" i="4"/>
  <c r="H13" i="4" s="1"/>
  <c r="E13" i="4"/>
  <c r="D13" i="4"/>
  <c r="E12" i="4"/>
  <c r="G12" i="4" s="1"/>
  <c r="D12" i="4"/>
  <c r="E11" i="4"/>
  <c r="G11" i="4" s="1"/>
  <c r="D11" i="4"/>
  <c r="E10" i="4"/>
  <c r="G10" i="4" s="1"/>
  <c r="D10" i="4"/>
  <c r="H9" i="4"/>
  <c r="F9" i="4"/>
  <c r="E9" i="4"/>
  <c r="D9" i="4"/>
  <c r="G9" i="4" s="1"/>
  <c r="E8" i="4"/>
  <c r="G8" i="4" s="1"/>
  <c r="D8" i="4"/>
  <c r="G7" i="4"/>
  <c r="F7" i="4"/>
  <c r="H7" i="4" s="1"/>
  <c r="E7" i="4"/>
  <c r="D7" i="4"/>
  <c r="G6" i="4"/>
  <c r="E6" i="4"/>
  <c r="F6" i="4" s="1"/>
  <c r="H6" i="4" s="1"/>
  <c r="D6" i="4"/>
  <c r="E5" i="4"/>
  <c r="F5" i="4" s="1"/>
  <c r="H5" i="4" s="1"/>
  <c r="D5" i="4"/>
  <c r="D35" i="4" s="1"/>
  <c r="E4" i="4"/>
  <c r="G4" i="4" s="1"/>
  <c r="D4" i="4"/>
  <c r="E33" i="3"/>
  <c r="G33" i="3" s="1"/>
  <c r="D33" i="3"/>
  <c r="E32" i="3"/>
  <c r="F32" i="3" s="1"/>
  <c r="H32" i="3" s="1"/>
  <c r="D32" i="3"/>
  <c r="F31" i="3"/>
  <c r="H31" i="3" s="1"/>
  <c r="E31" i="3"/>
  <c r="D31" i="3"/>
  <c r="G31" i="3" s="1"/>
  <c r="G30" i="3"/>
  <c r="F30" i="3"/>
  <c r="H30" i="3" s="1"/>
  <c r="E30" i="3"/>
  <c r="D30" i="3"/>
  <c r="E29" i="3"/>
  <c r="G29" i="3" s="1"/>
  <c r="D29" i="3"/>
  <c r="E28" i="3"/>
  <c r="G28" i="3" s="1"/>
  <c r="D28" i="3"/>
  <c r="E27" i="3"/>
  <c r="G27" i="3" s="1"/>
  <c r="D27" i="3"/>
  <c r="E26" i="3"/>
  <c r="F26" i="3" s="1"/>
  <c r="H26" i="3" s="1"/>
  <c r="D26" i="3"/>
  <c r="H25" i="3"/>
  <c r="G25" i="3"/>
  <c r="F25" i="3"/>
  <c r="E25" i="3"/>
  <c r="D25" i="3"/>
  <c r="E24" i="3"/>
  <c r="G24" i="3" s="1"/>
  <c r="D24" i="3"/>
  <c r="H23" i="3"/>
  <c r="G23" i="3"/>
  <c r="F23" i="3"/>
  <c r="E23" i="3"/>
  <c r="D23" i="3"/>
  <c r="E22" i="3"/>
  <c r="F22" i="3" s="1"/>
  <c r="H22" i="3" s="1"/>
  <c r="D22" i="3"/>
  <c r="E21" i="3"/>
  <c r="F21" i="3" s="1"/>
  <c r="H21" i="3" s="1"/>
  <c r="D21" i="3"/>
  <c r="E20" i="3"/>
  <c r="G20" i="3" s="1"/>
  <c r="D20" i="3"/>
  <c r="E19" i="3"/>
  <c r="G19" i="3" s="1"/>
  <c r="D19" i="3"/>
  <c r="G18" i="3"/>
  <c r="E18" i="3"/>
  <c r="F18" i="3" s="1"/>
  <c r="H18" i="3" s="1"/>
  <c r="D18" i="3"/>
  <c r="E17" i="3"/>
  <c r="F17" i="3" s="1"/>
  <c r="H17" i="3" s="1"/>
  <c r="D17" i="3"/>
  <c r="G16" i="3"/>
  <c r="E16" i="3"/>
  <c r="F16" i="3" s="1"/>
  <c r="H16" i="3" s="1"/>
  <c r="D16" i="3"/>
  <c r="F15" i="3"/>
  <c r="H15" i="3" s="1"/>
  <c r="E15" i="3"/>
  <c r="D15" i="3"/>
  <c r="G15" i="3" s="1"/>
  <c r="G14" i="3"/>
  <c r="F14" i="3"/>
  <c r="H14" i="3" s="1"/>
  <c r="E14" i="3"/>
  <c r="D14" i="3"/>
  <c r="E13" i="3"/>
  <c r="G13" i="3" s="1"/>
  <c r="D13" i="3"/>
  <c r="E12" i="3"/>
  <c r="F12" i="3" s="1"/>
  <c r="H12" i="3" s="1"/>
  <c r="D12" i="3"/>
  <c r="E11" i="3"/>
  <c r="G11" i="3" s="1"/>
  <c r="D11" i="3"/>
  <c r="E10" i="3"/>
  <c r="G10" i="3" s="1"/>
  <c r="D10" i="3"/>
  <c r="H9" i="3"/>
  <c r="G9" i="3"/>
  <c r="F9" i="3"/>
  <c r="E9" i="3"/>
  <c r="D9" i="3"/>
  <c r="E8" i="3"/>
  <c r="G8" i="3" s="1"/>
  <c r="D8" i="3"/>
  <c r="H7" i="3"/>
  <c r="G7" i="3"/>
  <c r="F7" i="3"/>
  <c r="E7" i="3"/>
  <c r="D7" i="3"/>
  <c r="E6" i="3"/>
  <c r="G6" i="3" s="1"/>
  <c r="D6" i="3"/>
  <c r="E5" i="3"/>
  <c r="F5" i="3" s="1"/>
  <c r="H5" i="3" s="1"/>
  <c r="D5" i="3"/>
  <c r="E4" i="3"/>
  <c r="G4" i="3" s="1"/>
  <c r="D4" i="3"/>
  <c r="D35" i="3" s="1"/>
  <c r="E33" i="2"/>
  <c r="F33" i="2" s="1"/>
  <c r="H33" i="2" s="1"/>
  <c r="D33" i="2"/>
  <c r="E32" i="2"/>
  <c r="F32" i="2" s="1"/>
  <c r="H32" i="2" s="1"/>
  <c r="D32" i="2"/>
  <c r="G32" i="2" s="1"/>
  <c r="E31" i="2"/>
  <c r="F31" i="2" s="1"/>
  <c r="H31" i="2" s="1"/>
  <c r="D31" i="2"/>
  <c r="G30" i="2"/>
  <c r="F30" i="2"/>
  <c r="H30" i="2" s="1"/>
  <c r="E30" i="2"/>
  <c r="D30" i="2"/>
  <c r="E29" i="2"/>
  <c r="G29" i="2" s="1"/>
  <c r="D29" i="2"/>
  <c r="E28" i="2"/>
  <c r="G28" i="2" s="1"/>
  <c r="D28" i="2"/>
  <c r="G27" i="2"/>
  <c r="E27" i="2"/>
  <c r="F27" i="2" s="1"/>
  <c r="H27" i="2" s="1"/>
  <c r="D27" i="2"/>
  <c r="E26" i="2"/>
  <c r="G26" i="2" s="1"/>
  <c r="D26" i="2"/>
  <c r="E25" i="2"/>
  <c r="G25" i="2" s="1"/>
  <c r="D25" i="2"/>
  <c r="E24" i="2"/>
  <c r="F24" i="2" s="1"/>
  <c r="H24" i="2" s="1"/>
  <c r="D24" i="2"/>
  <c r="H23" i="2"/>
  <c r="G23" i="2"/>
  <c r="F23" i="2"/>
  <c r="E23" i="2"/>
  <c r="D23" i="2"/>
  <c r="E22" i="2"/>
  <c r="G22" i="2" s="1"/>
  <c r="D22" i="2"/>
  <c r="E21" i="2"/>
  <c r="G21" i="2" s="1"/>
  <c r="D21" i="2"/>
  <c r="E20" i="2"/>
  <c r="G20" i="2" s="1"/>
  <c r="D20" i="2"/>
  <c r="E19" i="2"/>
  <c r="F19" i="2" s="1"/>
  <c r="H19" i="2" s="1"/>
  <c r="D19" i="2"/>
  <c r="F18" i="2"/>
  <c r="H18" i="2" s="1"/>
  <c r="E18" i="2"/>
  <c r="G18" i="2" s="1"/>
  <c r="D18" i="2"/>
  <c r="E17" i="2"/>
  <c r="F17" i="2" s="1"/>
  <c r="H17" i="2" s="1"/>
  <c r="D17" i="2"/>
  <c r="E16" i="2"/>
  <c r="F16" i="2" s="1"/>
  <c r="H16" i="2" s="1"/>
  <c r="D16" i="2"/>
  <c r="G16" i="2" s="1"/>
  <c r="E15" i="2"/>
  <c r="F15" i="2" s="1"/>
  <c r="H15" i="2" s="1"/>
  <c r="D15" i="2"/>
  <c r="G14" i="2"/>
  <c r="F14" i="2"/>
  <c r="H14" i="2" s="1"/>
  <c r="E14" i="2"/>
  <c r="D14" i="2"/>
  <c r="E13" i="2"/>
  <c r="G13" i="2" s="1"/>
  <c r="D13" i="2"/>
  <c r="E12" i="2"/>
  <c r="F12" i="2" s="1"/>
  <c r="H12" i="2" s="1"/>
  <c r="D12" i="2"/>
  <c r="G11" i="2"/>
  <c r="E11" i="2"/>
  <c r="F11" i="2" s="1"/>
  <c r="H11" i="2" s="1"/>
  <c r="D11" i="2"/>
  <c r="E10" i="2"/>
  <c r="G10" i="2" s="1"/>
  <c r="D10" i="2"/>
  <c r="E9" i="2"/>
  <c r="G9" i="2" s="1"/>
  <c r="D9" i="2"/>
  <c r="E8" i="2"/>
  <c r="F8" i="2" s="1"/>
  <c r="H8" i="2" s="1"/>
  <c r="D8" i="2"/>
  <c r="H7" i="2"/>
  <c r="G7" i="2"/>
  <c r="F7" i="2"/>
  <c r="E7" i="2"/>
  <c r="D7" i="2"/>
  <c r="E6" i="2"/>
  <c r="F6" i="2" s="1"/>
  <c r="H6" i="2" s="1"/>
  <c r="D6" i="2"/>
  <c r="E5" i="2"/>
  <c r="G5" i="2" s="1"/>
  <c r="D5" i="2"/>
  <c r="E4" i="2"/>
  <c r="G4" i="2" s="1"/>
  <c r="D4" i="2"/>
  <c r="D35" i="2" s="1"/>
  <c r="G33" i="4" l="1"/>
  <c r="F21" i="4"/>
  <c r="H21" i="4" s="1"/>
  <c r="G30" i="4"/>
  <c r="G5" i="4"/>
  <c r="G34" i="4" s="1"/>
  <c r="G28" i="4"/>
  <c r="F10" i="4"/>
  <c r="H10" i="4" s="1"/>
  <c r="G19" i="4"/>
  <c r="F26" i="4"/>
  <c r="H26" i="4" s="1"/>
  <c r="F17" i="4"/>
  <c r="H17" i="4" s="1"/>
  <c r="F8" i="4"/>
  <c r="H8" i="4" s="1"/>
  <c r="F24" i="4"/>
  <c r="H24" i="4" s="1"/>
  <c r="F15" i="4"/>
  <c r="H15" i="4" s="1"/>
  <c r="F31" i="4"/>
  <c r="H31" i="4" s="1"/>
  <c r="F11" i="4"/>
  <c r="H11" i="4" s="1"/>
  <c r="G20" i="4"/>
  <c r="F27" i="4"/>
  <c r="H27" i="4" s="1"/>
  <c r="F18" i="4"/>
  <c r="H18" i="4" s="1"/>
  <c r="G14" i="4"/>
  <c r="F4" i="4"/>
  <c r="H4" i="4" s="1"/>
  <c r="F12" i="4"/>
  <c r="H12" i="4" s="1"/>
  <c r="D34" i="4"/>
  <c r="C34" i="4" s="1"/>
  <c r="G32" i="3"/>
  <c r="F33" i="3"/>
  <c r="H33" i="3" s="1"/>
  <c r="F8" i="3"/>
  <c r="H8" i="3" s="1"/>
  <c r="G17" i="3"/>
  <c r="F24" i="3"/>
  <c r="H24" i="3" s="1"/>
  <c r="G26" i="3"/>
  <c r="G5" i="3"/>
  <c r="G34" i="3" s="1"/>
  <c r="G21" i="3"/>
  <c r="G12" i="3"/>
  <c r="F19" i="3"/>
  <c r="H19" i="3" s="1"/>
  <c r="F6" i="3"/>
  <c r="H6" i="3" s="1"/>
  <c r="F13" i="3"/>
  <c r="H13" i="3" s="1"/>
  <c r="G22" i="3"/>
  <c r="F29" i="3"/>
  <c r="H29" i="3" s="1"/>
  <c r="F4" i="3"/>
  <c r="H4" i="3" s="1"/>
  <c r="H34" i="3" s="1"/>
  <c r="F20" i="3"/>
  <c r="H20" i="3" s="1"/>
  <c r="F11" i="3"/>
  <c r="H11" i="3" s="1"/>
  <c r="F27" i="3"/>
  <c r="H27" i="3" s="1"/>
  <c r="D34" i="3"/>
  <c r="C34" i="3" s="1"/>
  <c r="F28" i="3"/>
  <c r="H28" i="3" s="1"/>
  <c r="F10" i="3"/>
  <c r="H10" i="3" s="1"/>
  <c r="G17" i="2"/>
  <c r="F28" i="2"/>
  <c r="H28" i="2" s="1"/>
  <c r="G33" i="2"/>
  <c r="F5" i="2"/>
  <c r="H5" i="2" s="1"/>
  <c r="G19" i="2"/>
  <c r="F26" i="2"/>
  <c r="H26" i="2" s="1"/>
  <c r="G24" i="2"/>
  <c r="G15" i="2"/>
  <c r="F22" i="2"/>
  <c r="H22" i="2" s="1"/>
  <c r="G6" i="2"/>
  <c r="G34" i="2" s="1"/>
  <c r="F13" i="2"/>
  <c r="H13" i="2" s="1"/>
  <c r="F29" i="2"/>
  <c r="H29" i="2" s="1"/>
  <c r="F4" i="2"/>
  <c r="H4" i="2" s="1"/>
  <c r="H34" i="2" s="1"/>
  <c r="F20" i="2"/>
  <c r="H20" i="2" s="1"/>
  <c r="D34" i="2"/>
  <c r="C34" i="2" s="1"/>
  <c r="F21" i="2"/>
  <c r="H21" i="2" s="1"/>
  <c r="G12" i="2"/>
  <c r="F10" i="2"/>
  <c r="H10" i="2" s="1"/>
  <c r="G31" i="2"/>
  <c r="G8" i="2"/>
  <c r="F9" i="2"/>
  <c r="H9" i="2" s="1"/>
  <c r="F25" i="2"/>
  <c r="H25" i="2" s="1"/>
  <c r="H34" i="4" l="1"/>
  <c r="C21" i="2" l="1"/>
  <c r="I21" i="2" s="1"/>
  <c r="C9" i="2" l="1"/>
  <c r="I9" i="2" s="1"/>
  <c r="C13" i="2"/>
  <c r="I13" i="2" s="1"/>
  <c r="C6" i="2"/>
  <c r="I6" i="2" s="1"/>
  <c r="C26" i="2"/>
  <c r="I26" i="2" s="1"/>
  <c r="C27" i="2"/>
  <c r="I27" i="2" s="1"/>
  <c r="C8" i="2"/>
  <c r="I8" i="2" s="1"/>
  <c r="C10" i="2"/>
  <c r="I10" i="2" s="1"/>
  <c r="C11" i="2"/>
  <c r="I11" i="2" s="1"/>
  <c r="C12" i="2"/>
  <c r="I12" i="2" s="1"/>
  <c r="C7" i="2"/>
  <c r="I7" i="2" s="1"/>
  <c r="C23" i="2"/>
  <c r="I23" i="2" s="1"/>
  <c r="C24" i="2"/>
  <c r="I24" i="2" s="1"/>
  <c r="C25" i="2"/>
  <c r="I25" i="2" s="1"/>
  <c r="C32" i="2" l="1"/>
  <c r="I32" i="2" s="1"/>
  <c r="C14" i="2"/>
  <c r="I14" i="2" s="1"/>
  <c r="C29" i="2"/>
  <c r="I29" i="2" s="1"/>
  <c r="C18" i="2"/>
  <c r="I18" i="2" s="1"/>
  <c r="C28" i="2"/>
  <c r="I28" i="2" s="1"/>
  <c r="C19" i="2"/>
  <c r="I19" i="2" s="1"/>
  <c r="C33" i="2"/>
  <c r="I33" i="2" s="1"/>
  <c r="C31" i="2"/>
  <c r="I31" i="2" s="1"/>
  <c r="C20" i="2"/>
  <c r="I20" i="2" s="1"/>
  <c r="C22" i="2"/>
  <c r="I22" i="2" s="1"/>
  <c r="C4" i="2"/>
  <c r="I4" i="2" s="1"/>
  <c r="C15" i="2"/>
  <c r="I15" i="2" s="1"/>
  <c r="C16" i="2"/>
  <c r="I16" i="2" s="1"/>
  <c r="C5" i="2"/>
  <c r="I5" i="2" s="1"/>
  <c r="C17" i="2"/>
  <c r="I17" i="2" s="1"/>
  <c r="C30" i="2"/>
  <c r="I30" i="2" s="1"/>
  <c r="I34" i="2" l="1"/>
  <c r="C21" i="4" l="1"/>
  <c r="I21" i="4" s="1"/>
  <c r="C26" i="4" l="1"/>
  <c r="I26" i="4" s="1"/>
  <c r="C8" i="4"/>
  <c r="I8" i="4" s="1"/>
  <c r="C11" i="4"/>
  <c r="I11" i="4" s="1"/>
  <c r="C6" i="4"/>
  <c r="I6" i="4" s="1"/>
  <c r="C9" i="4"/>
  <c r="I9" i="4" s="1"/>
  <c r="C13" i="4"/>
  <c r="I13" i="4" s="1"/>
  <c r="C10" i="4"/>
  <c r="I10" i="4" s="1"/>
  <c r="C27" i="4"/>
  <c r="I27" i="4" s="1"/>
  <c r="C12" i="4"/>
  <c r="I12" i="4" s="1"/>
  <c r="C23" i="4"/>
  <c r="I23" i="4" s="1"/>
  <c r="C7" i="4"/>
  <c r="I7" i="4" s="1"/>
  <c r="C24" i="4"/>
  <c r="I24" i="4" s="1"/>
  <c r="C25" i="4"/>
  <c r="I25" i="4" s="1"/>
  <c r="C14" i="4" l="1"/>
  <c r="I14" i="4" s="1"/>
  <c r="C29" i="4"/>
  <c r="I29" i="4" s="1"/>
  <c r="C22" i="4"/>
  <c r="I22" i="4" s="1"/>
  <c r="C28" i="4"/>
  <c r="I28" i="4" s="1"/>
  <c r="C31" i="4"/>
  <c r="I31" i="4" s="1"/>
  <c r="C15" i="4"/>
  <c r="I15" i="4" s="1"/>
  <c r="C5" i="4"/>
  <c r="I5" i="4" s="1"/>
  <c r="C33" i="4"/>
  <c r="I33" i="4" s="1"/>
  <c r="C4" i="4"/>
  <c r="I4" i="4" s="1"/>
  <c r="C32" i="4"/>
  <c r="I32" i="4" s="1"/>
  <c r="C18" i="4"/>
  <c r="I18" i="4" s="1"/>
  <c r="C19" i="4"/>
  <c r="I19" i="4" s="1"/>
  <c r="C20" i="4"/>
  <c r="I20" i="4" s="1"/>
  <c r="C16" i="4"/>
  <c r="I16" i="4" s="1"/>
  <c r="C17" i="4"/>
  <c r="I17" i="4" s="1"/>
  <c r="C30" i="4"/>
  <c r="I30" i="4" s="1"/>
  <c r="I34" i="4" l="1"/>
  <c r="C21" i="3" l="1"/>
  <c r="I21" i="3" s="1"/>
  <c r="C8" i="3" l="1"/>
  <c r="I8" i="3" s="1"/>
  <c r="C26" i="3"/>
  <c r="I26" i="3" s="1"/>
  <c r="C9" i="3"/>
  <c r="I9" i="3" s="1"/>
  <c r="C10" i="3"/>
  <c r="I10" i="3" s="1"/>
  <c r="C6" i="3"/>
  <c r="I6" i="3" s="1"/>
  <c r="C13" i="3"/>
  <c r="I13" i="3" s="1"/>
  <c r="C12" i="3"/>
  <c r="I12" i="3" s="1"/>
  <c r="C11" i="3"/>
  <c r="I11" i="3" s="1"/>
  <c r="C27" i="3"/>
  <c r="I27" i="3" s="1"/>
  <c r="C7" i="3"/>
  <c r="I7" i="3" s="1"/>
  <c r="C23" i="3"/>
  <c r="I23" i="3" s="1"/>
  <c r="C24" i="3"/>
  <c r="I24" i="3" s="1"/>
  <c r="C25" i="3"/>
  <c r="I25" i="3" s="1"/>
  <c r="C4" i="3" l="1"/>
  <c r="I4" i="3" s="1"/>
  <c r="C31" i="3"/>
  <c r="I31" i="3" s="1"/>
  <c r="C29" i="3"/>
  <c r="I29" i="3" s="1"/>
  <c r="C15" i="3"/>
  <c r="I15" i="3" s="1"/>
  <c r="C22" i="3"/>
  <c r="I22" i="3" s="1"/>
  <c r="C33" i="3"/>
  <c r="I33" i="3" s="1"/>
  <c r="C32" i="3"/>
  <c r="I32" i="3" s="1"/>
  <c r="C16" i="3"/>
  <c r="I16" i="3" s="1"/>
  <c r="C5" i="3"/>
  <c r="I5" i="3" s="1"/>
  <c r="C18" i="3"/>
  <c r="I18" i="3" s="1"/>
  <c r="C19" i="3"/>
  <c r="I19" i="3" s="1"/>
  <c r="C20" i="3"/>
  <c r="I20" i="3" s="1"/>
  <c r="C14" i="3"/>
  <c r="I14" i="3" s="1"/>
  <c r="C28" i="3"/>
  <c r="I28" i="3" s="1"/>
  <c r="C17" i="3"/>
  <c r="I17" i="3" s="1"/>
  <c r="C30" i="3"/>
  <c r="I30" i="3" s="1"/>
  <c r="I34" i="3" l="1"/>
</calcChain>
</file>

<file path=xl/sharedStrings.xml><?xml version="1.0" encoding="utf-8"?>
<sst xmlns="http://schemas.openxmlformats.org/spreadsheetml/2006/main" count="180" uniqueCount="7">
  <si>
    <t>Tonase</t>
  </si>
  <si>
    <t>MRC</t>
  </si>
  <si>
    <t>LRC</t>
  </si>
  <si>
    <t>Tertimbang</t>
  </si>
  <si>
    <t>Kalori</t>
  </si>
  <si>
    <t>Unit 1</t>
  </si>
  <si>
    <t>Tanggal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</si>
</sst>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8" formatCode="_-* #,##0_-;\-* #,##0_-;_-* &quot;-&quot;_-;_-@_-"/>
    <numFmt numFmtId="173" formatCode="_-* #,##0.00_-;\-* #,##0.00_-;_-* &quot;-&quot;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8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168" fontId="0" fillId="0" borderId="2" xfId="1" applyFont="1" applyBorder="1"/>
    <xf numFmtId="168" fontId="0" fillId="0" borderId="3" xfId="1" applyFont="1" applyBorder="1"/>
    <xf numFmtId="9" fontId="0" fillId="0" borderId="1" xfId="1" applyNumberFormat="1" applyFont="1" applyBorder="1"/>
    <xf numFmtId="168" fontId="0" fillId="0" borderId="1" xfId="1" applyFont="1" applyBorder="1"/>
    <xf numFmtId="0" fontId="0" fillId="0" borderId="9" xfId="0" applyBorder="1" applyAlignment="1">
      <alignment horizontal="center"/>
    </xf>
    <xf numFmtId="173" fontId="0" fillId="0" borderId="8" xfId="1" applyNumberFormat="1" applyFont="1" applyBorder="1"/>
    <xf numFmtId="173" fontId="0" fillId="0" borderId="9" xfId="1" applyNumberFormat="1" applyFont="1" applyBorder="1"/>
    <xf numFmtId="168" fontId="0" fillId="0" borderId="9" xfId="1" applyFont="1" applyBorder="1"/>
    <xf numFmtId="173" fontId="0" fillId="0" borderId="0" xfId="1" applyNumberFormat="1" applyFont="1"/>
  </cellXfs>
  <cellStyles count="5">
    <cellStyle name="Comma [0]" xfId="1" builtinId="6"/>
    <cellStyle name="Comma 38" xfId="3" xr:uid="{59A67793-DF0F-4015-A2F4-216A30DCA4C5}"/>
    <cellStyle name="Normal" xfId="0" builtinId="0"/>
    <cellStyle name="Normal 60" xfId="2" xr:uid="{84C4E1E2-43F0-42AF-8B37-7AFA06CDC103}"/>
    <cellStyle name="Percent 3" xfId="4" xr:uid="{5CF7E67A-4535-4EDA-845C-BE861AF210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6.xml"/><Relationship Id="rId39" Type="http://schemas.openxmlformats.org/officeDocument/2006/relationships/externalLink" Target="externalLinks/externalLink19.xml"/><Relationship Id="rId21" Type="http://schemas.openxmlformats.org/officeDocument/2006/relationships/externalLink" Target="externalLinks/externalLink1.xml"/><Relationship Id="rId34" Type="http://schemas.openxmlformats.org/officeDocument/2006/relationships/externalLink" Target="externalLinks/externalLink14.xml"/><Relationship Id="rId42" Type="http://schemas.openxmlformats.org/officeDocument/2006/relationships/externalLink" Target="externalLinks/externalLink2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4.xml"/><Relationship Id="rId32" Type="http://schemas.openxmlformats.org/officeDocument/2006/relationships/externalLink" Target="externalLinks/externalLink12.xml"/><Relationship Id="rId37" Type="http://schemas.openxmlformats.org/officeDocument/2006/relationships/externalLink" Target="externalLinks/externalLink17.xml"/><Relationship Id="rId40" Type="http://schemas.openxmlformats.org/officeDocument/2006/relationships/externalLink" Target="externalLinks/externalLink2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externalLink" Target="externalLinks/externalLink8.xml"/><Relationship Id="rId36" Type="http://schemas.openxmlformats.org/officeDocument/2006/relationships/externalLink" Target="externalLinks/externalLink1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externalLink" Target="externalLinks/externalLink7.xml"/><Relationship Id="rId30" Type="http://schemas.openxmlformats.org/officeDocument/2006/relationships/externalLink" Target="externalLinks/externalLink10.xml"/><Relationship Id="rId35" Type="http://schemas.openxmlformats.org/officeDocument/2006/relationships/externalLink" Target="externalLinks/externalLink15.xml"/><Relationship Id="rId43" Type="http://schemas.openxmlformats.org/officeDocument/2006/relationships/externalLink" Target="externalLinks/externalLink2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5.xml"/><Relationship Id="rId33" Type="http://schemas.openxmlformats.org/officeDocument/2006/relationships/externalLink" Target="externalLinks/externalLink13.xml"/><Relationship Id="rId38" Type="http://schemas.openxmlformats.org/officeDocument/2006/relationships/externalLink" Target="externalLinks/externalLink1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2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7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8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9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0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1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2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3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4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5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6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7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8.xml"/></Relationships>
</file>

<file path=xl/charts/_rels/chart1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9.xml"/></Relationships>
</file>

<file path=xl/charts/_rels/chart2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D" sz="1400"/>
              <a:t>Blending</a:t>
            </a:r>
            <a:r>
              <a:rPr lang="en-ID" sz="1400" baseline="0"/>
              <a:t> Pengisian Unit 1</a:t>
            </a:r>
            <a:endParaRPr lang="en-ID" sz="140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9866759259259253E-2"/>
          <c:y val="0.14935182418386986"/>
          <c:w val="0.91016009259259256"/>
          <c:h val="0.78852824203189165"/>
        </c:manualLayout>
      </c:layout>
      <c:barChart>
        <c:barDir val="col"/>
        <c:grouping val="stacked"/>
        <c:varyColors val="0"/>
        <c:ser>
          <c:idx val="1"/>
          <c:order val="1"/>
          <c:tx>
            <c:v>MRC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'coal blend jan 25'!$G$4:$G$33</c:f>
              <c:numCache>
                <c:formatCode>_-* #,##0_-;\-* #,##0_-;_-* "-"_-;_-@_-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60-43E7-A59B-5B1E99AB1D27}"/>
            </c:ext>
          </c:extLst>
        </c:ser>
        <c:ser>
          <c:idx val="4"/>
          <c:order val="2"/>
          <c:tx>
            <c:v>MRC%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432000" rIns="39600" bIns="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'coal blend jan 25'!$E$4:$E$33</c:f>
              <c:numCache>
                <c:formatCode>0%</c:formatCode>
                <c:ptCount val="30"/>
                <c:pt idx="0">
                  <c:v>0.43333333333333335</c:v>
                </c:pt>
                <c:pt idx="1">
                  <c:v>0.5</c:v>
                </c:pt>
                <c:pt idx="2">
                  <c:v>0.43333333333333335</c:v>
                </c:pt>
                <c:pt idx="3">
                  <c:v>0.51666666666666661</c:v>
                </c:pt>
                <c:pt idx="4">
                  <c:v>0.91666666666666663</c:v>
                </c:pt>
                <c:pt idx="5">
                  <c:v>0.6333333333333333</c:v>
                </c:pt>
                <c:pt idx="6">
                  <c:v>0.53333333333333333</c:v>
                </c:pt>
                <c:pt idx="7">
                  <c:v>0.7416666666666667</c:v>
                </c:pt>
                <c:pt idx="8">
                  <c:v>0.78333333333333321</c:v>
                </c:pt>
                <c:pt idx="9">
                  <c:v>0.75</c:v>
                </c:pt>
                <c:pt idx="10">
                  <c:v>0.76666666666666661</c:v>
                </c:pt>
                <c:pt idx="11">
                  <c:v>0.70000000000000007</c:v>
                </c:pt>
                <c:pt idx="12">
                  <c:v>0.76666666666666661</c:v>
                </c:pt>
                <c:pt idx="13">
                  <c:v>0.76666666666666661</c:v>
                </c:pt>
                <c:pt idx="14">
                  <c:v>0.66666666666666663</c:v>
                </c:pt>
                <c:pt idx="15">
                  <c:v>0.96666666666666667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0.65</c:v>
                </c:pt>
                <c:pt idx="20">
                  <c:v>0.76666666666666661</c:v>
                </c:pt>
                <c:pt idx="21">
                  <c:v>1</c:v>
                </c:pt>
                <c:pt idx="22">
                  <c:v>0.93333333333333324</c:v>
                </c:pt>
                <c:pt idx="23">
                  <c:v>0.75</c:v>
                </c:pt>
                <c:pt idx="24">
                  <c:v>0.58333333333333337</c:v>
                </c:pt>
                <c:pt idx="25">
                  <c:v>0.51666666666666672</c:v>
                </c:pt>
                <c:pt idx="26">
                  <c:v>0.5</c:v>
                </c:pt>
                <c:pt idx="27">
                  <c:v>0.69999999999999984</c:v>
                </c:pt>
                <c:pt idx="28">
                  <c:v>0.6</c:v>
                </c:pt>
                <c:pt idx="29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60-43E7-A59B-5B1E99AB1D27}"/>
            </c:ext>
          </c:extLst>
        </c:ser>
        <c:ser>
          <c:idx val="2"/>
          <c:order val="3"/>
          <c:tx>
            <c:v>LRC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'coal blend jan 25'!$H$4:$H$33</c:f>
              <c:numCache>
                <c:formatCode>_-* #,##0_-;\-* #,##0_-;_-* "-"_-;_-@_-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60-43E7-A59B-5B1E99AB1D27}"/>
            </c:ext>
          </c:extLst>
        </c:ser>
        <c:ser>
          <c:idx val="5"/>
          <c:order val="4"/>
          <c:tx>
            <c:v>LRC%</c:v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0" rIns="38100" bIns="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'coal blend jan 25'!$F$4:$F$33</c:f>
              <c:numCache>
                <c:formatCode>0%</c:formatCode>
                <c:ptCount val="30"/>
                <c:pt idx="0">
                  <c:v>0.56666666666666665</c:v>
                </c:pt>
                <c:pt idx="1">
                  <c:v>0.5</c:v>
                </c:pt>
                <c:pt idx="2">
                  <c:v>0.56666666666666665</c:v>
                </c:pt>
                <c:pt idx="3">
                  <c:v>0.48333333333333339</c:v>
                </c:pt>
                <c:pt idx="4">
                  <c:v>8.333333333333337E-2</c:v>
                </c:pt>
                <c:pt idx="5">
                  <c:v>0.3666666666666667</c:v>
                </c:pt>
                <c:pt idx="6">
                  <c:v>0.46666666666666667</c:v>
                </c:pt>
                <c:pt idx="7">
                  <c:v>0.2583333333333333</c:v>
                </c:pt>
                <c:pt idx="8">
                  <c:v>0.21666666666666679</c:v>
                </c:pt>
                <c:pt idx="9">
                  <c:v>0.25</c:v>
                </c:pt>
                <c:pt idx="10">
                  <c:v>0.23333333333333339</c:v>
                </c:pt>
                <c:pt idx="11">
                  <c:v>0.29999999999999993</c:v>
                </c:pt>
                <c:pt idx="12">
                  <c:v>0.23333333333333339</c:v>
                </c:pt>
                <c:pt idx="13">
                  <c:v>0.23333333333333339</c:v>
                </c:pt>
                <c:pt idx="14">
                  <c:v>0.33333333333333337</c:v>
                </c:pt>
                <c:pt idx="15">
                  <c:v>3.3333333333333326E-2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0.35</c:v>
                </c:pt>
                <c:pt idx="20">
                  <c:v>0.23333333333333339</c:v>
                </c:pt>
                <c:pt idx="21">
                  <c:v>0</c:v>
                </c:pt>
                <c:pt idx="22">
                  <c:v>6.6666666666666763E-2</c:v>
                </c:pt>
                <c:pt idx="23">
                  <c:v>0.25</c:v>
                </c:pt>
                <c:pt idx="24">
                  <c:v>0.41666666666666663</c:v>
                </c:pt>
                <c:pt idx="25">
                  <c:v>0.48333333333333328</c:v>
                </c:pt>
                <c:pt idx="26">
                  <c:v>0.5</c:v>
                </c:pt>
                <c:pt idx="27">
                  <c:v>0.30000000000000016</c:v>
                </c:pt>
                <c:pt idx="28">
                  <c:v>0.4</c:v>
                </c:pt>
                <c:pt idx="29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E60-43E7-A59B-5B1E99AB1D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98303456"/>
        <c:axId val="524749024"/>
      </c:barChart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0" tIns="0" rIns="0" bIns="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'coal blend jan 25'!$D$4:$D$33</c:f>
              <c:numCache>
                <c:formatCode>_-* #,##0_-;\-* #,##0_-;_-* "-"_-;_-@_-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E60-43E7-A59B-5B1E99AB1D27}"/>
            </c:ext>
          </c:extLst>
        </c:ser>
        <c:ser>
          <c:idx val="3"/>
          <c:order val="5"/>
          <c:tx>
            <c:v>DATE</c:v>
          </c:tx>
          <c:spPr>
            <a:ln w="34925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'coal blend jan 25'!$B$4:$B$33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E60-43E7-A59B-5B1E99AB1D2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76185576"/>
        <c:axId val="576186560"/>
      </c:lineChart>
      <c:valAx>
        <c:axId val="576186560"/>
        <c:scaling>
          <c:orientation val="minMax"/>
          <c:max val="5200"/>
          <c:min val="0"/>
        </c:scaling>
        <c:delete val="0"/>
        <c:axPos val="r"/>
        <c:numFmt formatCode="_-* #,##0_-;\-* #,##0_-;_-* &quot;-&quot;_-;_-@_-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185576"/>
        <c:crosses val="max"/>
        <c:crossBetween val="between"/>
      </c:valAx>
      <c:catAx>
        <c:axId val="576185576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TANGGAL</a:t>
                </a:r>
              </a:p>
            </c:rich>
          </c:tx>
          <c:layout>
            <c:manualLayout>
              <c:xMode val="edge"/>
              <c:yMode val="edge"/>
              <c:x val="0.47345888888888887"/>
              <c:y val="0.97078151986183059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crossAx val="576186560"/>
        <c:crosses val="autoZero"/>
        <c:auto val="1"/>
        <c:lblAlgn val="ctr"/>
        <c:lblOffset val="100"/>
        <c:noMultiLvlLbl val="0"/>
      </c:catAx>
      <c:valAx>
        <c:axId val="524749024"/>
        <c:scaling>
          <c:orientation val="minMax"/>
          <c:max val="52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Tonase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_-* #,##0_-;\-* #,##0_-;_-* &quot;-&quot;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303456"/>
        <c:crosses val="autoZero"/>
        <c:crossBetween val="between"/>
      </c:valAx>
      <c:catAx>
        <c:axId val="598303456"/>
        <c:scaling>
          <c:orientation val="minMax"/>
        </c:scaling>
        <c:delete val="1"/>
        <c:axPos val="b"/>
        <c:majorTickMark val="out"/>
        <c:minorTickMark val="none"/>
        <c:tickLblPos val="nextTo"/>
        <c:crossAx val="5247490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egendEntry>
        <c:idx val="1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D" sz="1400"/>
              <a:t>Blending</a:t>
            </a:r>
            <a:r>
              <a:rPr lang="en-ID" sz="1400" baseline="0"/>
              <a:t> Pengisian Unit 1</a:t>
            </a:r>
            <a:endParaRPr lang="en-ID" sz="140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9866759259259253E-2"/>
          <c:y val="0.14935182418386986"/>
          <c:w val="0.91016009259259256"/>
          <c:h val="0.78852824203189165"/>
        </c:manualLayout>
      </c:layout>
      <c:barChart>
        <c:barDir val="col"/>
        <c:grouping val="stacked"/>
        <c:varyColors val="0"/>
        <c:ser>
          <c:idx val="1"/>
          <c:order val="1"/>
          <c:tx>
            <c:v>MRC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'coal blend feb 25'!$G$4:$G$33</c:f>
              <c:numCache>
                <c:formatCode>_-* #,##0_-;\-* #,##0_-;_-* "-"_-;_-@_-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91-4BE8-BD5F-AED0EF9F3F79}"/>
            </c:ext>
          </c:extLst>
        </c:ser>
        <c:ser>
          <c:idx val="4"/>
          <c:order val="2"/>
          <c:tx>
            <c:v>MRC%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432000" rIns="39600" bIns="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'coal blend feb 25'!$E$4:$E$33</c:f>
              <c:numCache>
                <c:formatCode>0%</c:formatCode>
                <c:ptCount val="30"/>
                <c:pt idx="0">
                  <c:v>0.6</c:v>
                </c:pt>
                <c:pt idx="1">
                  <c:v>0.73333333333333339</c:v>
                </c:pt>
                <c:pt idx="2">
                  <c:v>0.75</c:v>
                </c:pt>
                <c:pt idx="3">
                  <c:v>0.66666666666666663</c:v>
                </c:pt>
                <c:pt idx="4">
                  <c:v>0.95000000000000007</c:v>
                </c:pt>
                <c:pt idx="5">
                  <c:v>0.94999999999999984</c:v>
                </c:pt>
                <c:pt idx="6">
                  <c:v>0.98333333333333339</c:v>
                </c:pt>
                <c:pt idx="7">
                  <c:v>1</c:v>
                </c:pt>
                <c:pt idx="8">
                  <c:v>0.84444444444444444</c:v>
                </c:pt>
                <c:pt idx="9">
                  <c:v>0.71666666666666667</c:v>
                </c:pt>
                <c:pt idx="10">
                  <c:v>0.8666666666666667</c:v>
                </c:pt>
                <c:pt idx="11">
                  <c:v>0.79999999999999993</c:v>
                </c:pt>
                <c:pt idx="12">
                  <c:v>0.53333333333333333</c:v>
                </c:pt>
                <c:pt idx="13">
                  <c:v>0.58333333333333337</c:v>
                </c:pt>
                <c:pt idx="14">
                  <c:v>0.53333333333333333</c:v>
                </c:pt>
                <c:pt idx="15">
                  <c:v>0.65</c:v>
                </c:pt>
                <c:pt idx="16">
                  <c:v>0.5</c:v>
                </c:pt>
                <c:pt idx="17">
                  <c:v>0.76666666666666661</c:v>
                </c:pt>
                <c:pt idx="18">
                  <c:v>0.6</c:v>
                </c:pt>
                <c:pt idx="19">
                  <c:v>0.83333333333333337</c:v>
                </c:pt>
                <c:pt idx="20">
                  <c:v>0.63333333333333341</c:v>
                </c:pt>
                <c:pt idx="21">
                  <c:v>0.6</c:v>
                </c:pt>
                <c:pt idx="22">
                  <c:v>0.6</c:v>
                </c:pt>
                <c:pt idx="23">
                  <c:v>0.66666666666666663</c:v>
                </c:pt>
                <c:pt idx="24">
                  <c:v>0.68333333333333324</c:v>
                </c:pt>
                <c:pt idx="25">
                  <c:v>0.6</c:v>
                </c:pt>
                <c:pt idx="26">
                  <c:v>0.6</c:v>
                </c:pt>
                <c:pt idx="27">
                  <c:v>0.56666666666666665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91-4BE8-BD5F-AED0EF9F3F79}"/>
            </c:ext>
          </c:extLst>
        </c:ser>
        <c:ser>
          <c:idx val="2"/>
          <c:order val="3"/>
          <c:tx>
            <c:v>LRC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'coal blend feb 25'!$H$4:$H$33</c:f>
              <c:numCache>
                <c:formatCode>_-* #,##0_-;\-* #,##0_-;_-* "-"_-;_-@_-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91-4BE8-BD5F-AED0EF9F3F79}"/>
            </c:ext>
          </c:extLst>
        </c:ser>
        <c:ser>
          <c:idx val="5"/>
          <c:order val="4"/>
          <c:tx>
            <c:v>LRC%</c:v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0" rIns="38100" bIns="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'coal blend feb 25'!$F$4:$F$33</c:f>
              <c:numCache>
                <c:formatCode>0%</c:formatCode>
                <c:ptCount val="30"/>
                <c:pt idx="0">
                  <c:v>0.4</c:v>
                </c:pt>
                <c:pt idx="1">
                  <c:v>0.26666666666666661</c:v>
                </c:pt>
                <c:pt idx="2">
                  <c:v>0.25</c:v>
                </c:pt>
                <c:pt idx="3">
                  <c:v>0.33333333333333337</c:v>
                </c:pt>
                <c:pt idx="4">
                  <c:v>4.9999999999999933E-2</c:v>
                </c:pt>
                <c:pt idx="5">
                  <c:v>5.0000000000000155E-2</c:v>
                </c:pt>
                <c:pt idx="6">
                  <c:v>1.6666666666666607E-2</c:v>
                </c:pt>
                <c:pt idx="7">
                  <c:v>0</c:v>
                </c:pt>
                <c:pt idx="8">
                  <c:v>0.15555555555555556</c:v>
                </c:pt>
                <c:pt idx="9">
                  <c:v>0.28333333333333333</c:v>
                </c:pt>
                <c:pt idx="10">
                  <c:v>0.1333333333333333</c:v>
                </c:pt>
                <c:pt idx="11">
                  <c:v>0.20000000000000007</c:v>
                </c:pt>
                <c:pt idx="12">
                  <c:v>0.46666666666666667</c:v>
                </c:pt>
                <c:pt idx="13">
                  <c:v>0.41666666666666663</c:v>
                </c:pt>
                <c:pt idx="14">
                  <c:v>0.46666666666666667</c:v>
                </c:pt>
                <c:pt idx="15">
                  <c:v>0.35</c:v>
                </c:pt>
                <c:pt idx="16">
                  <c:v>0.5</c:v>
                </c:pt>
                <c:pt idx="17">
                  <c:v>0.23333333333333339</c:v>
                </c:pt>
                <c:pt idx="18">
                  <c:v>0.4</c:v>
                </c:pt>
                <c:pt idx="19">
                  <c:v>0.16666666666666663</c:v>
                </c:pt>
                <c:pt idx="20">
                  <c:v>0.36666666666666659</c:v>
                </c:pt>
                <c:pt idx="21">
                  <c:v>0.4</c:v>
                </c:pt>
                <c:pt idx="22">
                  <c:v>0.4</c:v>
                </c:pt>
                <c:pt idx="23">
                  <c:v>0.33333333333333337</c:v>
                </c:pt>
                <c:pt idx="24">
                  <c:v>0.31666666666666676</c:v>
                </c:pt>
                <c:pt idx="25">
                  <c:v>0.4</c:v>
                </c:pt>
                <c:pt idx="26">
                  <c:v>0.4</c:v>
                </c:pt>
                <c:pt idx="27">
                  <c:v>0.43333333333333335</c:v>
                </c:pt>
                <c:pt idx="28">
                  <c:v>1</c:v>
                </c:pt>
                <c:pt idx="2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91-4BE8-BD5F-AED0EF9F3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98303456"/>
        <c:axId val="524749024"/>
      </c:barChart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0" tIns="0" rIns="0" bIns="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'coal blend feb 25'!$D$4:$D$33</c:f>
              <c:numCache>
                <c:formatCode>_-* #,##0_-;\-* #,##0_-;_-* "-"_-;_-@_-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891-4BE8-BD5F-AED0EF9F3F79}"/>
            </c:ext>
          </c:extLst>
        </c:ser>
        <c:ser>
          <c:idx val="3"/>
          <c:order val="5"/>
          <c:tx>
            <c:v>DATE</c:v>
          </c:tx>
          <c:spPr>
            <a:ln w="34925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'coal blend feb 25'!$B$4:$B$33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891-4BE8-BD5F-AED0EF9F3F7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76185576"/>
        <c:axId val="576186560"/>
      </c:lineChart>
      <c:valAx>
        <c:axId val="576186560"/>
        <c:scaling>
          <c:orientation val="minMax"/>
          <c:max val="5200"/>
          <c:min val="0"/>
        </c:scaling>
        <c:delete val="0"/>
        <c:axPos val="r"/>
        <c:numFmt formatCode="_-* #,##0_-;\-* #,##0_-;_-* &quot;-&quot;_-;_-@_-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185576"/>
        <c:crosses val="max"/>
        <c:crossBetween val="between"/>
      </c:valAx>
      <c:catAx>
        <c:axId val="576185576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TANGGAL</a:t>
                </a:r>
              </a:p>
            </c:rich>
          </c:tx>
          <c:layout>
            <c:manualLayout>
              <c:xMode val="edge"/>
              <c:yMode val="edge"/>
              <c:x val="0.47345888888888887"/>
              <c:y val="0.97078151986183059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crossAx val="576186560"/>
        <c:crosses val="autoZero"/>
        <c:auto val="1"/>
        <c:lblAlgn val="ctr"/>
        <c:lblOffset val="100"/>
        <c:noMultiLvlLbl val="0"/>
      </c:catAx>
      <c:valAx>
        <c:axId val="524749024"/>
        <c:scaling>
          <c:orientation val="minMax"/>
          <c:max val="52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Tonase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_-* #,##0_-;\-* #,##0_-;_-* &quot;-&quot;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303456"/>
        <c:crosses val="autoZero"/>
        <c:crossBetween val="between"/>
      </c:valAx>
      <c:catAx>
        <c:axId val="598303456"/>
        <c:scaling>
          <c:orientation val="minMax"/>
        </c:scaling>
        <c:delete val="1"/>
        <c:axPos val="b"/>
        <c:majorTickMark val="out"/>
        <c:minorTickMark val="none"/>
        <c:tickLblPos val="nextTo"/>
        <c:crossAx val="5247490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egendEntry>
        <c:idx val="1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D" sz="1400"/>
              <a:t>Blending</a:t>
            </a:r>
            <a:r>
              <a:rPr lang="en-ID" sz="1400" baseline="0"/>
              <a:t> Pengisian Unit 1</a:t>
            </a:r>
            <a:endParaRPr lang="en-ID" sz="140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9866759259259253E-2"/>
          <c:y val="0.14935182418386986"/>
          <c:w val="0.91016009259259256"/>
          <c:h val="0.78852824203189165"/>
        </c:manualLayout>
      </c:layout>
      <c:barChart>
        <c:barDir val="col"/>
        <c:grouping val="stacked"/>
        <c:varyColors val="0"/>
        <c:ser>
          <c:idx val="1"/>
          <c:order val="1"/>
          <c:tx>
            <c:v>MRC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'coal blend mar 25'!$G$4:$G$33</c:f>
              <c:numCache>
                <c:formatCode>_-* #,##0_-;\-* #,##0_-;_-* "-"_-;_-@_-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D3-4EA1-AFB1-C8B7191EF465}"/>
            </c:ext>
          </c:extLst>
        </c:ser>
        <c:ser>
          <c:idx val="4"/>
          <c:order val="2"/>
          <c:tx>
            <c:v>MRC%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432000" rIns="39600" bIns="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'coal blend mar 25'!$E$4:$E$33</c:f>
              <c:numCache>
                <c:formatCode>0%</c:formatCode>
                <c:ptCount val="30"/>
                <c:pt idx="0">
                  <c:v>0.71666666666666667</c:v>
                </c:pt>
                <c:pt idx="1">
                  <c:v>0.98333333333333339</c:v>
                </c:pt>
                <c:pt idx="2">
                  <c:v>0.5</c:v>
                </c:pt>
                <c:pt idx="3">
                  <c:v>0.33333333333333331</c:v>
                </c:pt>
                <c:pt idx="4">
                  <c:v>0.43333333333333335</c:v>
                </c:pt>
                <c:pt idx="5">
                  <c:v>0.25</c:v>
                </c:pt>
                <c:pt idx="6">
                  <c:v>8.3333333333333329E-2</c:v>
                </c:pt>
                <c:pt idx="7">
                  <c:v>0.96666666666666667</c:v>
                </c:pt>
                <c:pt idx="8">
                  <c:v>0.66666666666666663</c:v>
                </c:pt>
                <c:pt idx="9">
                  <c:v>0.68333333333333324</c:v>
                </c:pt>
                <c:pt idx="10">
                  <c:v>0.9</c:v>
                </c:pt>
                <c:pt idx="11">
                  <c:v>0.43333333333333335</c:v>
                </c:pt>
                <c:pt idx="12">
                  <c:v>0.41666666666666669</c:v>
                </c:pt>
                <c:pt idx="13">
                  <c:v>0.5</c:v>
                </c:pt>
                <c:pt idx="14">
                  <c:v>0.20000000000000004</c:v>
                </c:pt>
                <c:pt idx="15">
                  <c:v>0.23333333333333331</c:v>
                </c:pt>
                <c:pt idx="16">
                  <c:v>0.6333333333333333</c:v>
                </c:pt>
                <c:pt idx="17">
                  <c:v>0.91666666666666663</c:v>
                </c:pt>
                <c:pt idx="18">
                  <c:v>0.91666666666666663</c:v>
                </c:pt>
                <c:pt idx="19">
                  <c:v>0.43333333333333335</c:v>
                </c:pt>
                <c:pt idx="20">
                  <c:v>0.6333333333333333</c:v>
                </c:pt>
                <c:pt idx="21">
                  <c:v>0.43333333333333335</c:v>
                </c:pt>
                <c:pt idx="22">
                  <c:v>0.32777777777777778</c:v>
                </c:pt>
                <c:pt idx="23">
                  <c:v>0.46666666666666662</c:v>
                </c:pt>
                <c:pt idx="24">
                  <c:v>0.54999999999999993</c:v>
                </c:pt>
                <c:pt idx="25">
                  <c:v>0.64166666666666661</c:v>
                </c:pt>
                <c:pt idx="26">
                  <c:v>0.58333333333333337</c:v>
                </c:pt>
                <c:pt idx="27">
                  <c:v>0.46666666666666673</c:v>
                </c:pt>
                <c:pt idx="28">
                  <c:v>0.23333333333333331</c:v>
                </c:pt>
                <c:pt idx="29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D3-4EA1-AFB1-C8B7191EF465}"/>
            </c:ext>
          </c:extLst>
        </c:ser>
        <c:ser>
          <c:idx val="2"/>
          <c:order val="3"/>
          <c:tx>
            <c:v>LRC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'coal blend mar 25'!$H$4:$H$33</c:f>
              <c:numCache>
                <c:formatCode>_-* #,##0_-;\-* #,##0_-;_-* "-"_-;_-@_-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D3-4EA1-AFB1-C8B7191EF465}"/>
            </c:ext>
          </c:extLst>
        </c:ser>
        <c:ser>
          <c:idx val="5"/>
          <c:order val="4"/>
          <c:tx>
            <c:v>LRC%</c:v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0" rIns="38100" bIns="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'coal blend mar 25'!$F$4:$F$33</c:f>
              <c:numCache>
                <c:formatCode>0%</c:formatCode>
                <c:ptCount val="30"/>
                <c:pt idx="0">
                  <c:v>0.28333333333333333</c:v>
                </c:pt>
                <c:pt idx="1">
                  <c:v>1.6666666666666607E-2</c:v>
                </c:pt>
                <c:pt idx="2">
                  <c:v>0.5</c:v>
                </c:pt>
                <c:pt idx="3">
                  <c:v>0.66666666666666674</c:v>
                </c:pt>
                <c:pt idx="4">
                  <c:v>0.56666666666666665</c:v>
                </c:pt>
                <c:pt idx="5">
                  <c:v>0.75</c:v>
                </c:pt>
                <c:pt idx="6">
                  <c:v>0.91666666666666663</c:v>
                </c:pt>
                <c:pt idx="7">
                  <c:v>3.3333333333333326E-2</c:v>
                </c:pt>
                <c:pt idx="8">
                  <c:v>0.33333333333333337</c:v>
                </c:pt>
                <c:pt idx="9">
                  <c:v>0.31666666666666676</c:v>
                </c:pt>
                <c:pt idx="10">
                  <c:v>9.9999999999999978E-2</c:v>
                </c:pt>
                <c:pt idx="11">
                  <c:v>0.56666666666666665</c:v>
                </c:pt>
                <c:pt idx="12">
                  <c:v>0.58333333333333326</c:v>
                </c:pt>
                <c:pt idx="13">
                  <c:v>0.5</c:v>
                </c:pt>
                <c:pt idx="14">
                  <c:v>0.79999999999999993</c:v>
                </c:pt>
                <c:pt idx="15">
                  <c:v>0.76666666666666672</c:v>
                </c:pt>
                <c:pt idx="16">
                  <c:v>0.3666666666666667</c:v>
                </c:pt>
                <c:pt idx="17">
                  <c:v>8.333333333333337E-2</c:v>
                </c:pt>
                <c:pt idx="18">
                  <c:v>8.333333333333337E-2</c:v>
                </c:pt>
                <c:pt idx="19">
                  <c:v>0.56666666666666665</c:v>
                </c:pt>
                <c:pt idx="20">
                  <c:v>0.3666666666666667</c:v>
                </c:pt>
                <c:pt idx="21">
                  <c:v>0.56666666666666665</c:v>
                </c:pt>
                <c:pt idx="22">
                  <c:v>0.67222222222222228</c:v>
                </c:pt>
                <c:pt idx="23">
                  <c:v>0.53333333333333344</c:v>
                </c:pt>
                <c:pt idx="24">
                  <c:v>0.45000000000000007</c:v>
                </c:pt>
                <c:pt idx="25">
                  <c:v>0.35833333333333339</c:v>
                </c:pt>
                <c:pt idx="26">
                  <c:v>0.41666666666666663</c:v>
                </c:pt>
                <c:pt idx="27">
                  <c:v>0.53333333333333321</c:v>
                </c:pt>
                <c:pt idx="28">
                  <c:v>0.76666666666666672</c:v>
                </c:pt>
                <c:pt idx="29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7D3-4EA1-AFB1-C8B7191EF4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98303456"/>
        <c:axId val="524749024"/>
      </c:barChart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0" tIns="0" rIns="0" bIns="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'coal blend mar 25'!$D$4:$D$33</c:f>
              <c:numCache>
                <c:formatCode>_-* #,##0_-;\-* #,##0_-;_-* "-"_-;_-@_-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7D3-4EA1-AFB1-C8B7191EF465}"/>
            </c:ext>
          </c:extLst>
        </c:ser>
        <c:ser>
          <c:idx val="3"/>
          <c:order val="5"/>
          <c:tx>
            <c:v>DATE</c:v>
          </c:tx>
          <c:spPr>
            <a:ln w="34925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'coal blend mar 25'!$B$4:$B$33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7D3-4EA1-AFB1-C8B7191EF46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76185576"/>
        <c:axId val="576186560"/>
      </c:lineChart>
      <c:valAx>
        <c:axId val="576186560"/>
        <c:scaling>
          <c:orientation val="minMax"/>
          <c:max val="5200"/>
          <c:min val="0"/>
        </c:scaling>
        <c:delete val="0"/>
        <c:axPos val="r"/>
        <c:numFmt formatCode="_-* #,##0_-;\-* #,##0_-;_-* &quot;-&quot;_-;_-@_-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185576"/>
        <c:crosses val="max"/>
        <c:crossBetween val="between"/>
      </c:valAx>
      <c:catAx>
        <c:axId val="576185576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TANGGAL</a:t>
                </a:r>
              </a:p>
            </c:rich>
          </c:tx>
          <c:layout>
            <c:manualLayout>
              <c:xMode val="edge"/>
              <c:yMode val="edge"/>
              <c:x val="0.47345888888888887"/>
              <c:y val="0.97078151986183059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crossAx val="576186560"/>
        <c:crosses val="autoZero"/>
        <c:auto val="1"/>
        <c:lblAlgn val="ctr"/>
        <c:lblOffset val="100"/>
        <c:noMultiLvlLbl val="0"/>
      </c:catAx>
      <c:valAx>
        <c:axId val="524749024"/>
        <c:scaling>
          <c:orientation val="minMax"/>
          <c:max val="52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Tonase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_-* #,##0_-;\-* #,##0_-;_-* &quot;-&quot;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303456"/>
        <c:crosses val="autoZero"/>
        <c:crossBetween val="between"/>
      </c:valAx>
      <c:catAx>
        <c:axId val="598303456"/>
        <c:scaling>
          <c:orientation val="minMax"/>
        </c:scaling>
        <c:delete val="1"/>
        <c:axPos val="b"/>
        <c:majorTickMark val="out"/>
        <c:minorTickMark val="none"/>
        <c:tickLblPos val="nextTo"/>
        <c:crossAx val="5247490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egendEntry>
        <c:idx val="1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D" sz="1400"/>
              <a:t>Blending</a:t>
            </a:r>
            <a:r>
              <a:rPr lang="en-ID" sz="1400" baseline="0"/>
              <a:t> Pengisian Unit 1</a:t>
            </a:r>
            <a:endParaRPr lang="en-ID" sz="140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9866759259259253E-2"/>
          <c:y val="0.14935182418386986"/>
          <c:w val="0.91016009259259256"/>
          <c:h val="0.78852824203189165"/>
        </c:manualLayout>
      </c:layout>
      <c:barChart>
        <c:barDir val="col"/>
        <c:grouping val="stacked"/>
        <c:varyColors val="0"/>
        <c:ser>
          <c:idx val="1"/>
          <c:order val="1"/>
          <c:tx>
            <c:v>MRC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'coal blend apr 25'!$G$4:$G$33</c:f>
              <c:numCache>
                <c:formatCode>_-* #,##0_-;\-* #,##0_-;_-* "-"_-;_-@_-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8A-4756-B555-1F7A2F53E85A}"/>
            </c:ext>
          </c:extLst>
        </c:ser>
        <c:ser>
          <c:idx val="4"/>
          <c:order val="2"/>
          <c:tx>
            <c:v>MRC%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432000" rIns="39600" bIns="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'coal blend apr 25'!$E$4:$E$33</c:f>
              <c:numCache>
                <c:formatCode>0%</c:formatCode>
                <c:ptCount val="30"/>
                <c:pt idx="0">
                  <c:v>0.20833333333333334</c:v>
                </c:pt>
                <c:pt idx="1">
                  <c:v>0.25</c:v>
                </c:pt>
                <c:pt idx="2">
                  <c:v>0.70000000000000007</c:v>
                </c:pt>
                <c:pt idx="3">
                  <c:v>0.53333333333333333</c:v>
                </c:pt>
                <c:pt idx="4">
                  <c:v>0.68333333333333324</c:v>
                </c:pt>
                <c:pt idx="5">
                  <c:v>0.44444444444444442</c:v>
                </c:pt>
                <c:pt idx="6">
                  <c:v>0.45</c:v>
                </c:pt>
                <c:pt idx="7">
                  <c:v>0.54166666666666663</c:v>
                </c:pt>
                <c:pt idx="8">
                  <c:v>0.57500000000000007</c:v>
                </c:pt>
                <c:pt idx="9">
                  <c:v>0.84166666666666667</c:v>
                </c:pt>
                <c:pt idx="10">
                  <c:v>0.46666666666666662</c:v>
                </c:pt>
                <c:pt idx="11">
                  <c:v>0.83333333333333337</c:v>
                </c:pt>
                <c:pt idx="12">
                  <c:v>0.6166666666666667</c:v>
                </c:pt>
                <c:pt idx="13">
                  <c:v>0.85</c:v>
                </c:pt>
                <c:pt idx="14">
                  <c:v>0.73333333333333339</c:v>
                </c:pt>
                <c:pt idx="15">
                  <c:v>0.75</c:v>
                </c:pt>
                <c:pt idx="16">
                  <c:v>0.79999999999999993</c:v>
                </c:pt>
                <c:pt idx="17">
                  <c:v>0.68333333333333324</c:v>
                </c:pt>
                <c:pt idx="18">
                  <c:v>0.6333333333333333</c:v>
                </c:pt>
                <c:pt idx="19">
                  <c:v>0.58333333333333337</c:v>
                </c:pt>
                <c:pt idx="20">
                  <c:v>0.8833333333333333</c:v>
                </c:pt>
                <c:pt idx="21">
                  <c:v>0.45</c:v>
                </c:pt>
                <c:pt idx="22">
                  <c:v>0.56666666666666665</c:v>
                </c:pt>
                <c:pt idx="23">
                  <c:v>0.5</c:v>
                </c:pt>
                <c:pt idx="24">
                  <c:v>0.45</c:v>
                </c:pt>
                <c:pt idx="25">
                  <c:v>9.9999999999999992E-2</c:v>
                </c:pt>
                <c:pt idx="26">
                  <c:v>8.3333333333333329E-2</c:v>
                </c:pt>
                <c:pt idx="27">
                  <c:v>8.3333333333333329E-2</c:v>
                </c:pt>
                <c:pt idx="28">
                  <c:v>0.41666666666666669</c:v>
                </c:pt>
                <c:pt idx="29">
                  <c:v>0.13333333333333333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8A-4756-B555-1F7A2F53E85A}"/>
            </c:ext>
          </c:extLst>
        </c:ser>
        <c:ser>
          <c:idx val="2"/>
          <c:order val="3"/>
          <c:tx>
            <c:v>LRC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'coal blend apr 25'!$H$4:$H$33</c:f>
              <c:numCache>
                <c:formatCode>_-* #,##0_-;\-* #,##0_-;_-* "-"_-;_-@_-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8A-4756-B555-1F7A2F53E85A}"/>
            </c:ext>
          </c:extLst>
        </c:ser>
        <c:ser>
          <c:idx val="5"/>
          <c:order val="4"/>
          <c:tx>
            <c:v>LRC%</c:v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0" rIns="38100" bIns="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'coal blend apr 25'!$F$4:$F$33</c:f>
              <c:numCache>
                <c:formatCode>0%</c:formatCode>
                <c:ptCount val="30"/>
                <c:pt idx="0">
                  <c:v>0.79166666666666663</c:v>
                </c:pt>
                <c:pt idx="1">
                  <c:v>0.75</c:v>
                </c:pt>
                <c:pt idx="2">
                  <c:v>0.29999999999999993</c:v>
                </c:pt>
                <c:pt idx="3">
                  <c:v>0.46666666666666667</c:v>
                </c:pt>
                <c:pt idx="4">
                  <c:v>0.31666666666666676</c:v>
                </c:pt>
                <c:pt idx="5">
                  <c:v>0.55555555555555558</c:v>
                </c:pt>
                <c:pt idx="6">
                  <c:v>0.55000000000000004</c:v>
                </c:pt>
                <c:pt idx="7">
                  <c:v>0.45833333333333337</c:v>
                </c:pt>
                <c:pt idx="8">
                  <c:v>0.42499999999999993</c:v>
                </c:pt>
                <c:pt idx="9">
                  <c:v>0.15833333333333333</c:v>
                </c:pt>
                <c:pt idx="10">
                  <c:v>0.53333333333333344</c:v>
                </c:pt>
                <c:pt idx="11">
                  <c:v>0.16666666666666663</c:v>
                </c:pt>
                <c:pt idx="12">
                  <c:v>0.3833333333333333</c:v>
                </c:pt>
                <c:pt idx="13">
                  <c:v>0.15000000000000002</c:v>
                </c:pt>
                <c:pt idx="14">
                  <c:v>0.26666666666666661</c:v>
                </c:pt>
                <c:pt idx="15">
                  <c:v>0.25</c:v>
                </c:pt>
                <c:pt idx="16">
                  <c:v>0.20000000000000007</c:v>
                </c:pt>
                <c:pt idx="17">
                  <c:v>0.31666666666666676</c:v>
                </c:pt>
                <c:pt idx="18">
                  <c:v>0.3666666666666667</c:v>
                </c:pt>
                <c:pt idx="19">
                  <c:v>0.41666666666666663</c:v>
                </c:pt>
                <c:pt idx="20">
                  <c:v>0.1166666666666667</c:v>
                </c:pt>
                <c:pt idx="21">
                  <c:v>0.55000000000000004</c:v>
                </c:pt>
                <c:pt idx="22">
                  <c:v>0.43333333333333335</c:v>
                </c:pt>
                <c:pt idx="23">
                  <c:v>0.5</c:v>
                </c:pt>
                <c:pt idx="24">
                  <c:v>0.55000000000000004</c:v>
                </c:pt>
                <c:pt idx="25">
                  <c:v>0.9</c:v>
                </c:pt>
                <c:pt idx="26">
                  <c:v>0.91666666666666663</c:v>
                </c:pt>
                <c:pt idx="27">
                  <c:v>0.91666666666666663</c:v>
                </c:pt>
                <c:pt idx="28">
                  <c:v>0.58333333333333326</c:v>
                </c:pt>
                <c:pt idx="29">
                  <c:v>0.8666666666666667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18A-4756-B555-1F7A2F53E8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98303456"/>
        <c:axId val="524749024"/>
      </c:barChart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0" tIns="0" rIns="0" bIns="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'coal blend apr 25'!$D$4:$D$33</c:f>
              <c:numCache>
                <c:formatCode>_-* #,##0_-;\-* #,##0_-;_-* "-"_-;_-@_-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18A-4756-B555-1F7A2F53E85A}"/>
            </c:ext>
          </c:extLst>
        </c:ser>
        <c:ser>
          <c:idx val="3"/>
          <c:order val="5"/>
          <c:tx>
            <c:v>DATE</c:v>
          </c:tx>
          <c:spPr>
            <a:ln w="34925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'coal blend apr 25'!$B$4:$B$33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18A-4756-B555-1F7A2F53E85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76185576"/>
        <c:axId val="576186560"/>
      </c:lineChart>
      <c:valAx>
        <c:axId val="576186560"/>
        <c:scaling>
          <c:orientation val="minMax"/>
          <c:max val="5200"/>
          <c:min val="0"/>
        </c:scaling>
        <c:delete val="0"/>
        <c:axPos val="r"/>
        <c:numFmt formatCode="_-* #,##0_-;\-* #,##0_-;_-* &quot;-&quot;_-;_-@_-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185576"/>
        <c:crosses val="max"/>
        <c:crossBetween val="between"/>
      </c:valAx>
      <c:catAx>
        <c:axId val="576185576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TANGGAL</a:t>
                </a:r>
              </a:p>
            </c:rich>
          </c:tx>
          <c:layout>
            <c:manualLayout>
              <c:xMode val="edge"/>
              <c:yMode val="edge"/>
              <c:x val="0.47345888888888887"/>
              <c:y val="0.97078151986183059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crossAx val="576186560"/>
        <c:crosses val="autoZero"/>
        <c:auto val="1"/>
        <c:lblAlgn val="ctr"/>
        <c:lblOffset val="100"/>
        <c:noMultiLvlLbl val="0"/>
      </c:catAx>
      <c:valAx>
        <c:axId val="524749024"/>
        <c:scaling>
          <c:orientation val="minMax"/>
          <c:max val="52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Tonase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_-* #,##0_-;\-* #,##0_-;_-* &quot;-&quot;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303456"/>
        <c:crosses val="autoZero"/>
        <c:crossBetween val="between"/>
      </c:valAx>
      <c:catAx>
        <c:axId val="598303456"/>
        <c:scaling>
          <c:orientation val="minMax"/>
        </c:scaling>
        <c:delete val="1"/>
        <c:axPos val="b"/>
        <c:majorTickMark val="out"/>
        <c:minorTickMark val="none"/>
        <c:tickLblPos val="nextTo"/>
        <c:crossAx val="5247490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egendEntry>
        <c:idx val="1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D" sz="1400"/>
              <a:t>Blending</a:t>
            </a:r>
            <a:r>
              <a:rPr lang="en-ID" sz="1400" baseline="0"/>
              <a:t> Pengisian Unit 1</a:t>
            </a:r>
            <a:endParaRPr lang="en-ID" sz="140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9866759259259253E-2"/>
          <c:y val="0.14935182418386986"/>
          <c:w val="0.91016009259259256"/>
          <c:h val="0.78852824203189165"/>
        </c:manualLayout>
      </c:layout>
      <c:barChart>
        <c:barDir val="col"/>
        <c:grouping val="stacked"/>
        <c:varyColors val="0"/>
        <c:ser>
          <c:idx val="1"/>
          <c:order val="1"/>
          <c:tx>
            <c:v>MRC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'coal blend mei 25'!$G$4:$G$33</c:f>
              <c:numCache>
                <c:formatCode>_-* #,##0_-;\-* #,##0_-;_-* "-"_-;_-@_-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B5-4EF0-A332-A601C8CC7A17}"/>
            </c:ext>
          </c:extLst>
        </c:ser>
        <c:ser>
          <c:idx val="4"/>
          <c:order val="2"/>
          <c:tx>
            <c:v>MRC%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432000" rIns="39600" bIns="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'coal blend mei 25'!$E$4:$E$33</c:f>
              <c:numCache>
                <c:formatCode>0%</c:formatCode>
                <c:ptCount val="30"/>
                <c:pt idx="0">
                  <c:v>0.15</c:v>
                </c:pt>
                <c:pt idx="1">
                  <c:v>0.26666666666666666</c:v>
                </c:pt>
                <c:pt idx="2">
                  <c:v>0.28333333333333333</c:v>
                </c:pt>
                <c:pt idx="3">
                  <c:v>0.39999999999999997</c:v>
                </c:pt>
                <c:pt idx="4">
                  <c:v>0.44166666666666665</c:v>
                </c:pt>
                <c:pt idx="5">
                  <c:v>0.45</c:v>
                </c:pt>
                <c:pt idx="6">
                  <c:v>0.53333333333333333</c:v>
                </c:pt>
                <c:pt idx="7">
                  <c:v>0.61111111111111105</c:v>
                </c:pt>
                <c:pt idx="8">
                  <c:v>0.33333333333333331</c:v>
                </c:pt>
                <c:pt idx="9">
                  <c:v>0.31666666666666665</c:v>
                </c:pt>
                <c:pt idx="10">
                  <c:v>9.9999999999999992E-2</c:v>
                </c:pt>
                <c:pt idx="11">
                  <c:v>0.33333333333333331</c:v>
                </c:pt>
                <c:pt idx="12">
                  <c:v>0.19999999999999998</c:v>
                </c:pt>
                <c:pt idx="13">
                  <c:v>0.26666666666666666</c:v>
                </c:pt>
                <c:pt idx="14">
                  <c:v>0.3833333333333333</c:v>
                </c:pt>
                <c:pt idx="15">
                  <c:v>0.3666666666666667</c:v>
                </c:pt>
                <c:pt idx="16">
                  <c:v>0.41666666666666669</c:v>
                </c:pt>
                <c:pt idx="17">
                  <c:v>0.54999999999999993</c:v>
                </c:pt>
                <c:pt idx="18">
                  <c:v>0.68333333333333324</c:v>
                </c:pt>
                <c:pt idx="19">
                  <c:v>0.65</c:v>
                </c:pt>
                <c:pt idx="20">
                  <c:v>0.80000000000000016</c:v>
                </c:pt>
                <c:pt idx="21">
                  <c:v>0.41666666666666669</c:v>
                </c:pt>
                <c:pt idx="22">
                  <c:v>9.9999999999999992E-2</c:v>
                </c:pt>
                <c:pt idx="23">
                  <c:v>0.13333333333333333</c:v>
                </c:pt>
                <c:pt idx="24">
                  <c:v>0.20000000000000004</c:v>
                </c:pt>
                <c:pt idx="25">
                  <c:v>0.6</c:v>
                </c:pt>
                <c:pt idx="26">
                  <c:v>0.69999999999999984</c:v>
                </c:pt>
                <c:pt idx="27">
                  <c:v>0.40000000000000008</c:v>
                </c:pt>
                <c:pt idx="28">
                  <c:v>0.56666666666666665</c:v>
                </c:pt>
                <c:pt idx="29">
                  <c:v>0.45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B5-4EF0-A332-A601C8CC7A17}"/>
            </c:ext>
          </c:extLst>
        </c:ser>
        <c:ser>
          <c:idx val="2"/>
          <c:order val="3"/>
          <c:tx>
            <c:v>LRC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'coal blend mei 25'!$H$4:$H$33</c:f>
              <c:numCache>
                <c:formatCode>_-* #,##0_-;\-* #,##0_-;_-* "-"_-;_-@_-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B5-4EF0-A332-A601C8CC7A17}"/>
            </c:ext>
          </c:extLst>
        </c:ser>
        <c:ser>
          <c:idx val="5"/>
          <c:order val="4"/>
          <c:tx>
            <c:v>LRC%</c:v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0" rIns="38100" bIns="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'coal blend mei 25'!$F$4:$F$33</c:f>
              <c:numCache>
                <c:formatCode>0%</c:formatCode>
                <c:ptCount val="30"/>
                <c:pt idx="0">
                  <c:v>0.85</c:v>
                </c:pt>
                <c:pt idx="1">
                  <c:v>0.73333333333333339</c:v>
                </c:pt>
                <c:pt idx="2">
                  <c:v>0.71666666666666667</c:v>
                </c:pt>
                <c:pt idx="3">
                  <c:v>0.60000000000000009</c:v>
                </c:pt>
                <c:pt idx="4">
                  <c:v>0.55833333333333335</c:v>
                </c:pt>
                <c:pt idx="5">
                  <c:v>0.55000000000000004</c:v>
                </c:pt>
                <c:pt idx="6">
                  <c:v>0.46666666666666667</c:v>
                </c:pt>
                <c:pt idx="7">
                  <c:v>0.38888888888888895</c:v>
                </c:pt>
                <c:pt idx="8">
                  <c:v>0.66666666666666674</c:v>
                </c:pt>
                <c:pt idx="9">
                  <c:v>0.68333333333333335</c:v>
                </c:pt>
                <c:pt idx="10">
                  <c:v>0.9</c:v>
                </c:pt>
                <c:pt idx="11">
                  <c:v>0.66666666666666674</c:v>
                </c:pt>
                <c:pt idx="12">
                  <c:v>0.8</c:v>
                </c:pt>
                <c:pt idx="13">
                  <c:v>0.73333333333333339</c:v>
                </c:pt>
                <c:pt idx="14">
                  <c:v>0.6166666666666667</c:v>
                </c:pt>
                <c:pt idx="15">
                  <c:v>0.6333333333333333</c:v>
                </c:pt>
                <c:pt idx="16">
                  <c:v>0.58333333333333326</c:v>
                </c:pt>
                <c:pt idx="17">
                  <c:v>0.45000000000000007</c:v>
                </c:pt>
                <c:pt idx="18">
                  <c:v>0.31666666666666676</c:v>
                </c:pt>
                <c:pt idx="19">
                  <c:v>0.35</c:v>
                </c:pt>
                <c:pt idx="20">
                  <c:v>0.19999999999999984</c:v>
                </c:pt>
                <c:pt idx="21">
                  <c:v>0.58333333333333326</c:v>
                </c:pt>
                <c:pt idx="22">
                  <c:v>0.9</c:v>
                </c:pt>
                <c:pt idx="23">
                  <c:v>0.8666666666666667</c:v>
                </c:pt>
                <c:pt idx="24">
                  <c:v>0.79999999999999993</c:v>
                </c:pt>
                <c:pt idx="25">
                  <c:v>0.4</c:v>
                </c:pt>
                <c:pt idx="26">
                  <c:v>0.30000000000000016</c:v>
                </c:pt>
                <c:pt idx="27">
                  <c:v>0.59999999999999987</c:v>
                </c:pt>
                <c:pt idx="28">
                  <c:v>0.43333333333333335</c:v>
                </c:pt>
                <c:pt idx="29">
                  <c:v>0.55000000000000004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B5-4EF0-A332-A601C8CC7A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98303456"/>
        <c:axId val="524749024"/>
      </c:barChart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0" tIns="0" rIns="0" bIns="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'coal blend mei 25'!$D$4:$D$33</c:f>
              <c:numCache>
                <c:formatCode>_-* #,##0_-;\-* #,##0_-;_-* "-"_-;_-@_-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0B5-4EF0-A332-A601C8CC7A17}"/>
            </c:ext>
          </c:extLst>
        </c:ser>
        <c:ser>
          <c:idx val="3"/>
          <c:order val="5"/>
          <c:tx>
            <c:v>DATE</c:v>
          </c:tx>
          <c:spPr>
            <a:ln w="34925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'coal blend mei 25'!$B$4:$B$33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0B5-4EF0-A332-A601C8CC7A1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76185576"/>
        <c:axId val="576186560"/>
      </c:lineChart>
      <c:valAx>
        <c:axId val="576186560"/>
        <c:scaling>
          <c:orientation val="minMax"/>
          <c:max val="5200"/>
          <c:min val="0"/>
        </c:scaling>
        <c:delete val="0"/>
        <c:axPos val="r"/>
        <c:numFmt formatCode="_-* #,##0_-;\-* #,##0_-;_-* &quot;-&quot;_-;_-@_-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185576"/>
        <c:crosses val="max"/>
        <c:crossBetween val="between"/>
      </c:valAx>
      <c:catAx>
        <c:axId val="576185576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TANGGAL</a:t>
                </a:r>
              </a:p>
            </c:rich>
          </c:tx>
          <c:layout>
            <c:manualLayout>
              <c:xMode val="edge"/>
              <c:yMode val="edge"/>
              <c:x val="0.47345888888888887"/>
              <c:y val="0.97078151986183059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crossAx val="576186560"/>
        <c:crosses val="autoZero"/>
        <c:auto val="1"/>
        <c:lblAlgn val="ctr"/>
        <c:lblOffset val="100"/>
        <c:noMultiLvlLbl val="0"/>
      </c:catAx>
      <c:valAx>
        <c:axId val="524749024"/>
        <c:scaling>
          <c:orientation val="minMax"/>
          <c:max val="52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Tonase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_-* #,##0_-;\-* #,##0_-;_-* &quot;-&quot;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303456"/>
        <c:crosses val="autoZero"/>
        <c:crossBetween val="between"/>
      </c:valAx>
      <c:catAx>
        <c:axId val="598303456"/>
        <c:scaling>
          <c:orientation val="minMax"/>
        </c:scaling>
        <c:delete val="1"/>
        <c:axPos val="b"/>
        <c:majorTickMark val="out"/>
        <c:minorTickMark val="none"/>
        <c:tickLblPos val="nextTo"/>
        <c:crossAx val="5247490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egendEntry>
        <c:idx val="1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D" sz="1400"/>
              <a:t>Blending</a:t>
            </a:r>
            <a:r>
              <a:rPr lang="en-ID" sz="1400" baseline="0"/>
              <a:t> Pengisian Unit 1</a:t>
            </a:r>
            <a:endParaRPr lang="en-ID" sz="140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9866759259259253E-2"/>
          <c:y val="0.14935182418386986"/>
          <c:w val="0.91016009259259256"/>
          <c:h val="0.78852824203189165"/>
        </c:manualLayout>
      </c:layout>
      <c:barChart>
        <c:barDir val="col"/>
        <c:grouping val="stacked"/>
        <c:varyColors val="0"/>
        <c:ser>
          <c:idx val="1"/>
          <c:order val="1"/>
          <c:tx>
            <c:v>MRC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'coal blend juni 25'!$G$4:$G$33</c:f>
              <c:numCache>
                <c:formatCode>_-* #,##0_-;\-* #,##0_-;_-* "-"_-;_-@_-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90-4ED3-9D6C-6E308D4BB0B3}"/>
            </c:ext>
          </c:extLst>
        </c:ser>
        <c:ser>
          <c:idx val="4"/>
          <c:order val="2"/>
          <c:tx>
            <c:v>MRC%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432000" rIns="39600" bIns="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'coal blend juni 25'!$E$4:$E$33</c:f>
              <c:numCache>
                <c:formatCode>0%</c:formatCode>
                <c:ptCount val="30"/>
                <c:pt idx="0">
                  <c:v>0.53333333333333333</c:v>
                </c:pt>
                <c:pt idx="1">
                  <c:v>0.6</c:v>
                </c:pt>
                <c:pt idx="2">
                  <c:v>0.19999999999999998</c:v>
                </c:pt>
                <c:pt idx="3">
                  <c:v>0.48333333333333334</c:v>
                </c:pt>
                <c:pt idx="4">
                  <c:v>0.68333333333333324</c:v>
                </c:pt>
                <c:pt idx="5">
                  <c:v>0.6166666666666667</c:v>
                </c:pt>
                <c:pt idx="6">
                  <c:v>0.52500000000000002</c:v>
                </c:pt>
                <c:pt idx="7">
                  <c:v>0.5</c:v>
                </c:pt>
                <c:pt idx="8">
                  <c:v>0.52500000000000002</c:v>
                </c:pt>
                <c:pt idx="9">
                  <c:v>0.49166666666666664</c:v>
                </c:pt>
                <c:pt idx="10">
                  <c:v>0.6</c:v>
                </c:pt>
                <c:pt idx="11">
                  <c:v>0.76666666666666661</c:v>
                </c:pt>
                <c:pt idx="12">
                  <c:v>0.73333333333333339</c:v>
                </c:pt>
                <c:pt idx="13">
                  <c:v>0.3666666666666667</c:v>
                </c:pt>
                <c:pt idx="14">
                  <c:v>0.45</c:v>
                </c:pt>
                <c:pt idx="15">
                  <c:v>0.85</c:v>
                </c:pt>
                <c:pt idx="16">
                  <c:v>0.71666666666666667</c:v>
                </c:pt>
                <c:pt idx="17">
                  <c:v>0.90833333333333333</c:v>
                </c:pt>
                <c:pt idx="18">
                  <c:v>0.65</c:v>
                </c:pt>
                <c:pt idx="19">
                  <c:v>0.59166666666666667</c:v>
                </c:pt>
                <c:pt idx="20">
                  <c:v>0.48333333333333334</c:v>
                </c:pt>
                <c:pt idx="21">
                  <c:v>0.875</c:v>
                </c:pt>
                <c:pt idx="22">
                  <c:v>0.56666666666666665</c:v>
                </c:pt>
                <c:pt idx="23">
                  <c:v>0.67499999999999993</c:v>
                </c:pt>
                <c:pt idx="24">
                  <c:v>0.60833333333333328</c:v>
                </c:pt>
                <c:pt idx="25">
                  <c:v>0.45833333333333331</c:v>
                </c:pt>
                <c:pt idx="26">
                  <c:v>0.125</c:v>
                </c:pt>
                <c:pt idx="27">
                  <c:v>0.18333333333333335</c:v>
                </c:pt>
                <c:pt idx="28">
                  <c:v>0.53333333333333333</c:v>
                </c:pt>
                <c:pt idx="29">
                  <c:v>0.51666666666666672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90-4ED3-9D6C-6E308D4BB0B3}"/>
            </c:ext>
          </c:extLst>
        </c:ser>
        <c:ser>
          <c:idx val="2"/>
          <c:order val="3"/>
          <c:tx>
            <c:v>LRC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'coal blend juni 25'!$H$4:$H$33</c:f>
              <c:numCache>
                <c:formatCode>_-* #,##0_-;\-* #,##0_-;_-* "-"_-;_-@_-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90-4ED3-9D6C-6E308D4BB0B3}"/>
            </c:ext>
          </c:extLst>
        </c:ser>
        <c:ser>
          <c:idx val="5"/>
          <c:order val="4"/>
          <c:tx>
            <c:v>LRC%</c:v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0" rIns="38100" bIns="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'coal blend juni 25'!$F$4:$F$33</c:f>
              <c:numCache>
                <c:formatCode>0%</c:formatCode>
                <c:ptCount val="30"/>
                <c:pt idx="0">
                  <c:v>0.46666666666666667</c:v>
                </c:pt>
                <c:pt idx="1">
                  <c:v>0.4</c:v>
                </c:pt>
                <c:pt idx="2">
                  <c:v>0.8</c:v>
                </c:pt>
                <c:pt idx="3">
                  <c:v>0.51666666666666661</c:v>
                </c:pt>
                <c:pt idx="4">
                  <c:v>0.31666666666666676</c:v>
                </c:pt>
                <c:pt idx="5">
                  <c:v>0.3833333333333333</c:v>
                </c:pt>
                <c:pt idx="6">
                  <c:v>0.47499999999999998</c:v>
                </c:pt>
                <c:pt idx="7">
                  <c:v>0.5</c:v>
                </c:pt>
                <c:pt idx="8">
                  <c:v>0.47499999999999998</c:v>
                </c:pt>
                <c:pt idx="9">
                  <c:v>0.5083333333333333</c:v>
                </c:pt>
                <c:pt idx="10">
                  <c:v>0.4</c:v>
                </c:pt>
                <c:pt idx="11">
                  <c:v>0.23333333333333339</c:v>
                </c:pt>
                <c:pt idx="12">
                  <c:v>0.26666666666666661</c:v>
                </c:pt>
                <c:pt idx="13">
                  <c:v>0.6333333333333333</c:v>
                </c:pt>
                <c:pt idx="14">
                  <c:v>0.55000000000000004</c:v>
                </c:pt>
                <c:pt idx="15">
                  <c:v>0.15000000000000002</c:v>
                </c:pt>
                <c:pt idx="16">
                  <c:v>0.28333333333333333</c:v>
                </c:pt>
                <c:pt idx="17">
                  <c:v>9.1666666666666674E-2</c:v>
                </c:pt>
                <c:pt idx="18">
                  <c:v>0.35</c:v>
                </c:pt>
                <c:pt idx="19">
                  <c:v>0.40833333333333333</c:v>
                </c:pt>
                <c:pt idx="20">
                  <c:v>0.51666666666666661</c:v>
                </c:pt>
                <c:pt idx="21">
                  <c:v>0.125</c:v>
                </c:pt>
                <c:pt idx="22">
                  <c:v>0.43333333333333335</c:v>
                </c:pt>
                <c:pt idx="23">
                  <c:v>0.32500000000000007</c:v>
                </c:pt>
                <c:pt idx="24">
                  <c:v>0.39166666666666672</c:v>
                </c:pt>
                <c:pt idx="25">
                  <c:v>0.54166666666666674</c:v>
                </c:pt>
                <c:pt idx="26">
                  <c:v>0.875</c:v>
                </c:pt>
                <c:pt idx="27">
                  <c:v>0.81666666666666665</c:v>
                </c:pt>
                <c:pt idx="28">
                  <c:v>0.46666666666666667</c:v>
                </c:pt>
                <c:pt idx="29">
                  <c:v>0.48333333333333328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90-4ED3-9D6C-6E308D4BB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98303456"/>
        <c:axId val="524749024"/>
      </c:barChart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0" tIns="0" rIns="0" bIns="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'coal blend juni 25'!$D$4:$D$33</c:f>
              <c:numCache>
                <c:formatCode>_-* #,##0_-;\-* #,##0_-;_-* "-"_-;_-@_-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190-4ED3-9D6C-6E308D4BB0B3}"/>
            </c:ext>
          </c:extLst>
        </c:ser>
        <c:ser>
          <c:idx val="3"/>
          <c:order val="5"/>
          <c:tx>
            <c:v>DATE</c:v>
          </c:tx>
          <c:spPr>
            <a:ln w="34925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'coal blend juni 25'!$B$4:$B$33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190-4ED3-9D6C-6E308D4BB0B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76185576"/>
        <c:axId val="576186560"/>
      </c:lineChart>
      <c:valAx>
        <c:axId val="576186560"/>
        <c:scaling>
          <c:orientation val="minMax"/>
          <c:max val="5200"/>
          <c:min val="0"/>
        </c:scaling>
        <c:delete val="0"/>
        <c:axPos val="r"/>
        <c:numFmt formatCode="_-* #,##0_-;\-* #,##0_-;_-* &quot;-&quot;_-;_-@_-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185576"/>
        <c:crosses val="max"/>
        <c:crossBetween val="between"/>
      </c:valAx>
      <c:catAx>
        <c:axId val="576185576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TANGGAL</a:t>
                </a:r>
              </a:p>
            </c:rich>
          </c:tx>
          <c:layout>
            <c:manualLayout>
              <c:xMode val="edge"/>
              <c:yMode val="edge"/>
              <c:x val="0.47345888888888887"/>
              <c:y val="0.97078151986183059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crossAx val="576186560"/>
        <c:crosses val="autoZero"/>
        <c:auto val="1"/>
        <c:lblAlgn val="ctr"/>
        <c:lblOffset val="100"/>
        <c:noMultiLvlLbl val="0"/>
      </c:catAx>
      <c:valAx>
        <c:axId val="524749024"/>
        <c:scaling>
          <c:orientation val="minMax"/>
          <c:max val="52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Tonase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_-* #,##0_-;\-* #,##0_-;_-* &quot;-&quot;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303456"/>
        <c:crosses val="autoZero"/>
        <c:crossBetween val="between"/>
      </c:valAx>
      <c:catAx>
        <c:axId val="598303456"/>
        <c:scaling>
          <c:orientation val="minMax"/>
        </c:scaling>
        <c:delete val="1"/>
        <c:axPos val="b"/>
        <c:majorTickMark val="out"/>
        <c:minorTickMark val="none"/>
        <c:tickLblPos val="nextTo"/>
        <c:crossAx val="5247490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egendEntry>
        <c:idx val="1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D" sz="1400"/>
              <a:t>Blending</a:t>
            </a:r>
            <a:r>
              <a:rPr lang="en-ID" sz="1400" baseline="0"/>
              <a:t> Pengisian Unit 1</a:t>
            </a:r>
            <a:endParaRPr lang="en-ID" sz="140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9866759259259253E-2"/>
          <c:y val="0.14935182418386986"/>
          <c:w val="0.91016009259259256"/>
          <c:h val="0.78852824203189165"/>
        </c:manualLayout>
      </c:layout>
      <c:barChart>
        <c:barDir val="col"/>
        <c:grouping val="stacked"/>
        <c:varyColors val="0"/>
        <c:ser>
          <c:idx val="1"/>
          <c:order val="1"/>
          <c:tx>
            <c:v>MRC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'coal blend juli 25'!$G$4:$G$33</c:f>
              <c:numCache>
                <c:formatCode>_-* #,##0_-;\-* #,##0_-;_-* "-"_-;_-@_-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14-48AD-8083-4CAD4DE0C9FF}"/>
            </c:ext>
          </c:extLst>
        </c:ser>
        <c:ser>
          <c:idx val="4"/>
          <c:order val="2"/>
          <c:tx>
            <c:v>MRC%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432000" rIns="39600" bIns="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'coal blend juli 25'!$E$4:$E$33</c:f>
              <c:numCache>
                <c:formatCode>0%</c:formatCode>
                <c:ptCount val="30"/>
                <c:pt idx="0">
                  <c:v>5.8333333333333327E-2</c:v>
                </c:pt>
                <c:pt idx="1">
                  <c:v>0.21666666666666667</c:v>
                </c:pt>
                <c:pt idx="2">
                  <c:v>0.43333333333333335</c:v>
                </c:pt>
                <c:pt idx="3">
                  <c:v>0.48333333333333334</c:v>
                </c:pt>
                <c:pt idx="4">
                  <c:v>0.53333333333333333</c:v>
                </c:pt>
                <c:pt idx="5">
                  <c:v>0.29166666666666663</c:v>
                </c:pt>
                <c:pt idx="6">
                  <c:v>0.41666666666666669</c:v>
                </c:pt>
                <c:pt idx="7">
                  <c:v>0.375</c:v>
                </c:pt>
                <c:pt idx="8">
                  <c:v>0.27499999999999997</c:v>
                </c:pt>
                <c:pt idx="9">
                  <c:v>0.31666666666666665</c:v>
                </c:pt>
                <c:pt idx="10">
                  <c:v>0.46666666666666662</c:v>
                </c:pt>
                <c:pt idx="11">
                  <c:v>0.59166666666666667</c:v>
                </c:pt>
                <c:pt idx="12">
                  <c:v>0.76666666666666661</c:v>
                </c:pt>
                <c:pt idx="13">
                  <c:v>0.76666666666666661</c:v>
                </c:pt>
                <c:pt idx="14">
                  <c:v>0.75</c:v>
                </c:pt>
                <c:pt idx="15">
                  <c:v>0.56666666666666665</c:v>
                </c:pt>
                <c:pt idx="16">
                  <c:v>0.85</c:v>
                </c:pt>
                <c:pt idx="17">
                  <c:v>0.46666666666666662</c:v>
                </c:pt>
                <c:pt idx="18">
                  <c:v>0.56666666666666676</c:v>
                </c:pt>
                <c:pt idx="19">
                  <c:v>0.83333333333333337</c:v>
                </c:pt>
                <c:pt idx="20">
                  <c:v>0.67499999999999993</c:v>
                </c:pt>
                <c:pt idx="21">
                  <c:v>0.48333333333333323</c:v>
                </c:pt>
                <c:pt idx="22">
                  <c:v>0.6</c:v>
                </c:pt>
                <c:pt idx="23">
                  <c:v>0.58333333333333337</c:v>
                </c:pt>
                <c:pt idx="24">
                  <c:v>0.58333333333333337</c:v>
                </c:pt>
                <c:pt idx="25">
                  <c:v>0.46666666666666662</c:v>
                </c:pt>
                <c:pt idx="26">
                  <c:v>0.53333333333333333</c:v>
                </c:pt>
                <c:pt idx="27">
                  <c:v>0.26666666666666666</c:v>
                </c:pt>
                <c:pt idx="28">
                  <c:v>0.75</c:v>
                </c:pt>
                <c:pt idx="29">
                  <c:v>0.31666666666666665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14-48AD-8083-4CAD4DE0C9FF}"/>
            </c:ext>
          </c:extLst>
        </c:ser>
        <c:ser>
          <c:idx val="2"/>
          <c:order val="3"/>
          <c:tx>
            <c:v>LRC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'coal blend juli 25'!$H$4:$H$33</c:f>
              <c:numCache>
                <c:formatCode>_-* #,##0_-;\-* #,##0_-;_-* "-"_-;_-@_-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14-48AD-8083-4CAD4DE0C9FF}"/>
            </c:ext>
          </c:extLst>
        </c:ser>
        <c:ser>
          <c:idx val="5"/>
          <c:order val="4"/>
          <c:tx>
            <c:v>LRC%</c:v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0" rIns="38100" bIns="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'coal blend juli 25'!$F$4:$F$33</c:f>
              <c:numCache>
                <c:formatCode>0%</c:formatCode>
                <c:ptCount val="30"/>
                <c:pt idx="0">
                  <c:v>0.94166666666666665</c:v>
                </c:pt>
                <c:pt idx="1">
                  <c:v>0.78333333333333333</c:v>
                </c:pt>
                <c:pt idx="2">
                  <c:v>0.56666666666666665</c:v>
                </c:pt>
                <c:pt idx="3">
                  <c:v>0.51666666666666661</c:v>
                </c:pt>
                <c:pt idx="4">
                  <c:v>0.46666666666666667</c:v>
                </c:pt>
                <c:pt idx="5">
                  <c:v>0.70833333333333337</c:v>
                </c:pt>
                <c:pt idx="6">
                  <c:v>0.58333333333333326</c:v>
                </c:pt>
                <c:pt idx="7">
                  <c:v>0.625</c:v>
                </c:pt>
                <c:pt idx="8">
                  <c:v>0.72500000000000009</c:v>
                </c:pt>
                <c:pt idx="9">
                  <c:v>0.68333333333333335</c:v>
                </c:pt>
                <c:pt idx="10">
                  <c:v>0.53333333333333344</c:v>
                </c:pt>
                <c:pt idx="11">
                  <c:v>0.40833333333333333</c:v>
                </c:pt>
                <c:pt idx="12">
                  <c:v>0.23333333333333339</c:v>
                </c:pt>
                <c:pt idx="13">
                  <c:v>0.23333333333333339</c:v>
                </c:pt>
                <c:pt idx="14">
                  <c:v>0.25</c:v>
                </c:pt>
                <c:pt idx="15">
                  <c:v>0.43333333333333335</c:v>
                </c:pt>
                <c:pt idx="16">
                  <c:v>0.15000000000000002</c:v>
                </c:pt>
                <c:pt idx="17">
                  <c:v>0.53333333333333344</c:v>
                </c:pt>
                <c:pt idx="18">
                  <c:v>0.43333333333333324</c:v>
                </c:pt>
                <c:pt idx="19">
                  <c:v>0.16666666666666663</c:v>
                </c:pt>
                <c:pt idx="20">
                  <c:v>0.32500000000000007</c:v>
                </c:pt>
                <c:pt idx="21">
                  <c:v>0.51666666666666683</c:v>
                </c:pt>
                <c:pt idx="22">
                  <c:v>0.4</c:v>
                </c:pt>
                <c:pt idx="23">
                  <c:v>0.41666666666666663</c:v>
                </c:pt>
                <c:pt idx="24">
                  <c:v>0.41666666666666663</c:v>
                </c:pt>
                <c:pt idx="25">
                  <c:v>0.53333333333333344</c:v>
                </c:pt>
                <c:pt idx="26">
                  <c:v>0.46666666666666667</c:v>
                </c:pt>
                <c:pt idx="27">
                  <c:v>0.73333333333333339</c:v>
                </c:pt>
                <c:pt idx="28">
                  <c:v>0.25</c:v>
                </c:pt>
                <c:pt idx="29">
                  <c:v>0.68333333333333335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C14-48AD-8083-4CAD4DE0C9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98303456"/>
        <c:axId val="524749024"/>
      </c:barChart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0" tIns="0" rIns="0" bIns="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'coal blend juli 25'!$D$4:$D$33</c:f>
              <c:numCache>
                <c:formatCode>_-* #,##0_-;\-* #,##0_-;_-* "-"_-;_-@_-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C14-48AD-8083-4CAD4DE0C9FF}"/>
            </c:ext>
          </c:extLst>
        </c:ser>
        <c:ser>
          <c:idx val="3"/>
          <c:order val="5"/>
          <c:tx>
            <c:v>DATE</c:v>
          </c:tx>
          <c:spPr>
            <a:ln w="34925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'coal blend juli 25'!$B$4:$B$33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C14-48AD-8083-4CAD4DE0C9F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76185576"/>
        <c:axId val="576186560"/>
      </c:lineChart>
      <c:valAx>
        <c:axId val="576186560"/>
        <c:scaling>
          <c:orientation val="minMax"/>
          <c:max val="5200"/>
          <c:min val="0"/>
        </c:scaling>
        <c:delete val="0"/>
        <c:axPos val="r"/>
        <c:numFmt formatCode="_-* #,##0_-;\-* #,##0_-;_-* &quot;-&quot;_-;_-@_-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185576"/>
        <c:crosses val="max"/>
        <c:crossBetween val="between"/>
      </c:valAx>
      <c:catAx>
        <c:axId val="576185576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TANGGAL</a:t>
                </a:r>
              </a:p>
            </c:rich>
          </c:tx>
          <c:layout>
            <c:manualLayout>
              <c:xMode val="edge"/>
              <c:yMode val="edge"/>
              <c:x val="0.47345888888888887"/>
              <c:y val="0.97078151986183059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crossAx val="576186560"/>
        <c:crosses val="autoZero"/>
        <c:auto val="1"/>
        <c:lblAlgn val="ctr"/>
        <c:lblOffset val="100"/>
        <c:noMultiLvlLbl val="0"/>
      </c:catAx>
      <c:valAx>
        <c:axId val="524749024"/>
        <c:scaling>
          <c:orientation val="minMax"/>
          <c:max val="52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Tonase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_-* #,##0_-;\-* #,##0_-;_-* &quot;-&quot;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303456"/>
        <c:crosses val="autoZero"/>
        <c:crossBetween val="between"/>
      </c:valAx>
      <c:catAx>
        <c:axId val="598303456"/>
        <c:scaling>
          <c:orientation val="minMax"/>
        </c:scaling>
        <c:delete val="1"/>
        <c:axPos val="b"/>
        <c:majorTickMark val="out"/>
        <c:minorTickMark val="none"/>
        <c:tickLblPos val="nextTo"/>
        <c:crossAx val="5247490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egendEntry>
        <c:idx val="1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D" sz="1400"/>
              <a:t>Blending</a:t>
            </a:r>
            <a:r>
              <a:rPr lang="en-ID" sz="1400" baseline="0"/>
              <a:t> Pengisian Unit 1</a:t>
            </a:r>
            <a:endParaRPr lang="en-ID" sz="140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9866759259259253E-2"/>
          <c:y val="0.14935182418386986"/>
          <c:w val="0.91016009259259256"/>
          <c:h val="0.78852824203189165"/>
        </c:manualLayout>
      </c:layout>
      <c:barChart>
        <c:barDir val="col"/>
        <c:grouping val="stacked"/>
        <c:varyColors val="0"/>
        <c:ser>
          <c:idx val="1"/>
          <c:order val="1"/>
          <c:tx>
            <c:v>MRC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'coal blend agustus 25'!$G$4:$G$33</c:f>
              <c:numCache>
                <c:formatCode>_-* #,##0_-;\-* #,##0_-;_-* "-"_-;_-@_-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41-40D0-BE80-5CCEF8E20DD8}"/>
            </c:ext>
          </c:extLst>
        </c:ser>
        <c:ser>
          <c:idx val="4"/>
          <c:order val="2"/>
          <c:tx>
            <c:v>MRC%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432000" rIns="39600" bIns="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'coal blend agustus 25'!$E$4:$E$33</c:f>
              <c:numCache>
                <c:formatCode>0%</c:formatCode>
                <c:ptCount val="30"/>
                <c:pt idx="0">
                  <c:v>0.4916666666666667</c:v>
                </c:pt>
                <c:pt idx="1">
                  <c:v>0.65833333333333333</c:v>
                </c:pt>
                <c:pt idx="2">
                  <c:v>0.79999999999999993</c:v>
                </c:pt>
                <c:pt idx="3">
                  <c:v>0.8833333333333333</c:v>
                </c:pt>
                <c:pt idx="4">
                  <c:v>0.6</c:v>
                </c:pt>
                <c:pt idx="5">
                  <c:v>0.57500000000000007</c:v>
                </c:pt>
                <c:pt idx="6">
                  <c:v>0.67499999999999993</c:v>
                </c:pt>
                <c:pt idx="7">
                  <c:v>0.6333333333333333</c:v>
                </c:pt>
                <c:pt idx="8">
                  <c:v>0.9</c:v>
                </c:pt>
                <c:pt idx="9">
                  <c:v>0.54999999999999993</c:v>
                </c:pt>
                <c:pt idx="10">
                  <c:v>0.53333333333333333</c:v>
                </c:pt>
                <c:pt idx="11">
                  <c:v>0.53333333333333333</c:v>
                </c:pt>
                <c:pt idx="12">
                  <c:v>0.55833333333333335</c:v>
                </c:pt>
                <c:pt idx="13">
                  <c:v>0.83333333333333337</c:v>
                </c:pt>
                <c:pt idx="14">
                  <c:v>0.61666666666666659</c:v>
                </c:pt>
                <c:pt idx="15">
                  <c:v>0.3833333333333333</c:v>
                </c:pt>
                <c:pt idx="16">
                  <c:v>0.16666666666666666</c:v>
                </c:pt>
                <c:pt idx="17">
                  <c:v>0.48333333333333339</c:v>
                </c:pt>
                <c:pt idx="18">
                  <c:v>0.71666666666666679</c:v>
                </c:pt>
                <c:pt idx="19">
                  <c:v>0.51666666666666672</c:v>
                </c:pt>
                <c:pt idx="20">
                  <c:v>0.53333333333333333</c:v>
                </c:pt>
                <c:pt idx="21">
                  <c:v>0.73333333333333328</c:v>
                </c:pt>
                <c:pt idx="22">
                  <c:v>0.9</c:v>
                </c:pt>
                <c:pt idx="23">
                  <c:v>0.75</c:v>
                </c:pt>
                <c:pt idx="24">
                  <c:v>0.6</c:v>
                </c:pt>
                <c:pt idx="25">
                  <c:v>0.68333333333333324</c:v>
                </c:pt>
                <c:pt idx="26">
                  <c:v>0.76666666666666661</c:v>
                </c:pt>
                <c:pt idx="27">
                  <c:v>0.68333333333333324</c:v>
                </c:pt>
                <c:pt idx="28">
                  <c:v>0.6166666666666667</c:v>
                </c:pt>
                <c:pt idx="29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41-40D0-BE80-5CCEF8E20DD8}"/>
            </c:ext>
          </c:extLst>
        </c:ser>
        <c:ser>
          <c:idx val="2"/>
          <c:order val="3"/>
          <c:tx>
            <c:v>LRC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'coal blend agustus 25'!$H$4:$H$33</c:f>
              <c:numCache>
                <c:formatCode>_-* #,##0_-;\-* #,##0_-;_-* "-"_-;_-@_-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41-40D0-BE80-5CCEF8E20DD8}"/>
            </c:ext>
          </c:extLst>
        </c:ser>
        <c:ser>
          <c:idx val="5"/>
          <c:order val="4"/>
          <c:tx>
            <c:v>LRC%</c:v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0" rIns="38100" bIns="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'coal blend agustus 25'!$F$4:$F$33</c:f>
              <c:numCache>
                <c:formatCode>0%</c:formatCode>
                <c:ptCount val="30"/>
                <c:pt idx="0">
                  <c:v>0.5083333333333333</c:v>
                </c:pt>
                <c:pt idx="1">
                  <c:v>0.34166666666666667</c:v>
                </c:pt>
                <c:pt idx="2">
                  <c:v>0.20000000000000007</c:v>
                </c:pt>
                <c:pt idx="3">
                  <c:v>0.1166666666666667</c:v>
                </c:pt>
                <c:pt idx="4">
                  <c:v>0.4</c:v>
                </c:pt>
                <c:pt idx="5">
                  <c:v>0.42499999999999993</c:v>
                </c:pt>
                <c:pt idx="6">
                  <c:v>0.32500000000000007</c:v>
                </c:pt>
                <c:pt idx="7">
                  <c:v>0.3666666666666667</c:v>
                </c:pt>
                <c:pt idx="8">
                  <c:v>9.9999999999999978E-2</c:v>
                </c:pt>
                <c:pt idx="9">
                  <c:v>0.45000000000000007</c:v>
                </c:pt>
                <c:pt idx="10">
                  <c:v>0.46666666666666667</c:v>
                </c:pt>
                <c:pt idx="11">
                  <c:v>0.46666666666666667</c:v>
                </c:pt>
                <c:pt idx="12">
                  <c:v>0.44166666666666665</c:v>
                </c:pt>
                <c:pt idx="13">
                  <c:v>0.16666666666666663</c:v>
                </c:pt>
                <c:pt idx="14">
                  <c:v>0.38333333333333341</c:v>
                </c:pt>
                <c:pt idx="15">
                  <c:v>0.6166666666666667</c:v>
                </c:pt>
                <c:pt idx="16">
                  <c:v>0.83333333333333337</c:v>
                </c:pt>
                <c:pt idx="17">
                  <c:v>0.51666666666666661</c:v>
                </c:pt>
                <c:pt idx="18">
                  <c:v>0.28333333333333321</c:v>
                </c:pt>
                <c:pt idx="19">
                  <c:v>0.48333333333333328</c:v>
                </c:pt>
                <c:pt idx="20">
                  <c:v>0.46666666666666667</c:v>
                </c:pt>
                <c:pt idx="21">
                  <c:v>0.26666666666666672</c:v>
                </c:pt>
                <c:pt idx="22">
                  <c:v>9.9999999999999978E-2</c:v>
                </c:pt>
                <c:pt idx="23">
                  <c:v>0.25</c:v>
                </c:pt>
                <c:pt idx="24">
                  <c:v>0.4</c:v>
                </c:pt>
                <c:pt idx="25">
                  <c:v>0.31666666666666676</c:v>
                </c:pt>
                <c:pt idx="26">
                  <c:v>0.23333333333333339</c:v>
                </c:pt>
                <c:pt idx="27">
                  <c:v>0.31666666666666676</c:v>
                </c:pt>
                <c:pt idx="28">
                  <c:v>0.3833333333333333</c:v>
                </c:pt>
                <c:pt idx="29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E41-40D0-BE80-5CCEF8E20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98303456"/>
        <c:axId val="524749024"/>
      </c:barChart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0" tIns="0" rIns="0" bIns="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'coal blend agustus 25'!$D$4:$D$33</c:f>
              <c:numCache>
                <c:formatCode>_-* #,##0_-;\-* #,##0_-;_-* "-"_-;_-@_-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E41-40D0-BE80-5CCEF8E20DD8}"/>
            </c:ext>
          </c:extLst>
        </c:ser>
        <c:ser>
          <c:idx val="3"/>
          <c:order val="5"/>
          <c:tx>
            <c:v>DATE</c:v>
          </c:tx>
          <c:spPr>
            <a:ln w="34925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'coal blend agustus 25'!$B$4:$B$33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E41-40D0-BE80-5CCEF8E20DD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76185576"/>
        <c:axId val="576186560"/>
      </c:lineChart>
      <c:valAx>
        <c:axId val="576186560"/>
        <c:scaling>
          <c:orientation val="minMax"/>
          <c:max val="5200"/>
          <c:min val="0"/>
        </c:scaling>
        <c:delete val="0"/>
        <c:axPos val="r"/>
        <c:numFmt formatCode="_-* #,##0_-;\-* #,##0_-;_-* &quot;-&quot;_-;_-@_-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185576"/>
        <c:crosses val="max"/>
        <c:crossBetween val="between"/>
      </c:valAx>
      <c:catAx>
        <c:axId val="576185576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TANGGAL</a:t>
                </a:r>
              </a:p>
            </c:rich>
          </c:tx>
          <c:layout>
            <c:manualLayout>
              <c:xMode val="edge"/>
              <c:yMode val="edge"/>
              <c:x val="0.47345888888888887"/>
              <c:y val="0.97078151986183059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crossAx val="576186560"/>
        <c:crosses val="autoZero"/>
        <c:auto val="1"/>
        <c:lblAlgn val="ctr"/>
        <c:lblOffset val="100"/>
        <c:noMultiLvlLbl val="0"/>
      </c:catAx>
      <c:valAx>
        <c:axId val="524749024"/>
        <c:scaling>
          <c:orientation val="minMax"/>
          <c:max val="52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Tonase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_-* #,##0_-;\-* #,##0_-;_-* &quot;-&quot;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303456"/>
        <c:crosses val="autoZero"/>
        <c:crossBetween val="between"/>
      </c:valAx>
      <c:catAx>
        <c:axId val="598303456"/>
        <c:scaling>
          <c:orientation val="minMax"/>
        </c:scaling>
        <c:delete val="1"/>
        <c:axPos val="b"/>
        <c:majorTickMark val="out"/>
        <c:minorTickMark val="none"/>
        <c:tickLblPos val="nextTo"/>
        <c:crossAx val="5247490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egendEntry>
        <c:idx val="1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D" sz="1400"/>
              <a:t>Blending</a:t>
            </a:r>
            <a:r>
              <a:rPr lang="en-ID" sz="1400" baseline="0"/>
              <a:t> Pengisian Unit 1</a:t>
            </a:r>
            <a:endParaRPr lang="en-ID" sz="140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9866759259259253E-2"/>
          <c:y val="0.14935182418386986"/>
          <c:w val="0.91016009259259256"/>
          <c:h val="0.78852824203189165"/>
        </c:manualLayout>
      </c:layout>
      <c:barChart>
        <c:barDir val="col"/>
        <c:grouping val="stacked"/>
        <c:varyColors val="0"/>
        <c:ser>
          <c:idx val="1"/>
          <c:order val="1"/>
          <c:tx>
            <c:v>MRC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'coal blend sept 25'!$G$4:$G$33</c:f>
              <c:numCache>
                <c:formatCode>_-* #,##0_-;\-* #,##0_-;_-* "-"_-;_-@_-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63-437D-A373-5B44990FAE77}"/>
            </c:ext>
          </c:extLst>
        </c:ser>
        <c:ser>
          <c:idx val="4"/>
          <c:order val="2"/>
          <c:tx>
            <c:v>MRC%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432000" rIns="39600" bIns="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'coal blend sept 25'!$E$4:$E$33</c:f>
              <c:numCache>
                <c:formatCode>0%</c:formatCode>
                <c:ptCount val="30"/>
                <c:pt idx="0">
                  <c:v>0.69999999999999984</c:v>
                </c:pt>
                <c:pt idx="1">
                  <c:v>0.5</c:v>
                </c:pt>
                <c:pt idx="2">
                  <c:v>0.85</c:v>
                </c:pt>
                <c:pt idx="3">
                  <c:v>0.69166666666666676</c:v>
                </c:pt>
                <c:pt idx="4">
                  <c:v>0.32500000000000001</c:v>
                </c:pt>
                <c:pt idx="5">
                  <c:v>0.6</c:v>
                </c:pt>
                <c:pt idx="6">
                  <c:v>0.54166666666666663</c:v>
                </c:pt>
                <c:pt idx="7">
                  <c:v>0.82500000000000007</c:v>
                </c:pt>
                <c:pt idx="8">
                  <c:v>0.70833333333333337</c:v>
                </c:pt>
                <c:pt idx="9">
                  <c:v>0.43333333333333335</c:v>
                </c:pt>
                <c:pt idx="10">
                  <c:v>0.41666666666666669</c:v>
                </c:pt>
                <c:pt idx="11">
                  <c:v>0.20000000000000004</c:v>
                </c:pt>
                <c:pt idx="12">
                  <c:v>0.15833333333333333</c:v>
                </c:pt>
                <c:pt idx="13">
                  <c:v>0.51666666666666661</c:v>
                </c:pt>
                <c:pt idx="14">
                  <c:v>0.7583333333333333</c:v>
                </c:pt>
                <c:pt idx="15">
                  <c:v>0.4333333333333334</c:v>
                </c:pt>
                <c:pt idx="16">
                  <c:v>0.71666666666666667</c:v>
                </c:pt>
                <c:pt idx="17">
                  <c:v>0.40833333333333338</c:v>
                </c:pt>
                <c:pt idx="18">
                  <c:v>0.51666666666666672</c:v>
                </c:pt>
                <c:pt idx="19">
                  <c:v>6.6666666666666666E-2</c:v>
                </c:pt>
                <c:pt idx="20">
                  <c:v>0.6333333333333333</c:v>
                </c:pt>
                <c:pt idx="21">
                  <c:v>0.7416666666666667</c:v>
                </c:pt>
                <c:pt idx="22">
                  <c:v>0.59166666666666667</c:v>
                </c:pt>
                <c:pt idx="23">
                  <c:v>0.69166666666666676</c:v>
                </c:pt>
                <c:pt idx="24">
                  <c:v>0.64166666666666672</c:v>
                </c:pt>
                <c:pt idx="25">
                  <c:v>0.51666666666666672</c:v>
                </c:pt>
                <c:pt idx="26">
                  <c:v>0.72499999999999998</c:v>
                </c:pt>
                <c:pt idx="27">
                  <c:v>0.6333333333333333</c:v>
                </c:pt>
                <c:pt idx="28">
                  <c:v>0.73333333333333339</c:v>
                </c:pt>
                <c:pt idx="29">
                  <c:v>0.61666666666666659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63-437D-A373-5B44990FAE77}"/>
            </c:ext>
          </c:extLst>
        </c:ser>
        <c:ser>
          <c:idx val="2"/>
          <c:order val="3"/>
          <c:tx>
            <c:v>LRC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'coal blend sept 25'!$H$4:$H$33</c:f>
              <c:numCache>
                <c:formatCode>_-* #,##0_-;\-* #,##0_-;_-* "-"_-;_-@_-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63-437D-A373-5B44990FAE77}"/>
            </c:ext>
          </c:extLst>
        </c:ser>
        <c:ser>
          <c:idx val="5"/>
          <c:order val="4"/>
          <c:tx>
            <c:v>LRC%</c:v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0" rIns="38100" bIns="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'coal blend sept 25'!$F$4:$F$33</c:f>
              <c:numCache>
                <c:formatCode>0%</c:formatCode>
                <c:ptCount val="30"/>
                <c:pt idx="0">
                  <c:v>0.30000000000000016</c:v>
                </c:pt>
                <c:pt idx="1">
                  <c:v>0.5</c:v>
                </c:pt>
                <c:pt idx="2">
                  <c:v>0.15000000000000002</c:v>
                </c:pt>
                <c:pt idx="3">
                  <c:v>0.30833333333333324</c:v>
                </c:pt>
                <c:pt idx="4">
                  <c:v>0.67500000000000004</c:v>
                </c:pt>
                <c:pt idx="5">
                  <c:v>0.4</c:v>
                </c:pt>
                <c:pt idx="6">
                  <c:v>0.45833333333333337</c:v>
                </c:pt>
                <c:pt idx="7">
                  <c:v>0.17499999999999993</c:v>
                </c:pt>
                <c:pt idx="8">
                  <c:v>0.29166666666666663</c:v>
                </c:pt>
                <c:pt idx="9">
                  <c:v>0.56666666666666665</c:v>
                </c:pt>
                <c:pt idx="10">
                  <c:v>0.58333333333333326</c:v>
                </c:pt>
                <c:pt idx="11">
                  <c:v>0.79999999999999993</c:v>
                </c:pt>
                <c:pt idx="12">
                  <c:v>0.84166666666666667</c:v>
                </c:pt>
                <c:pt idx="13">
                  <c:v>0.48333333333333339</c:v>
                </c:pt>
                <c:pt idx="14">
                  <c:v>0.2416666666666667</c:v>
                </c:pt>
                <c:pt idx="15">
                  <c:v>0.56666666666666665</c:v>
                </c:pt>
                <c:pt idx="16">
                  <c:v>0.28333333333333333</c:v>
                </c:pt>
                <c:pt idx="17">
                  <c:v>0.59166666666666656</c:v>
                </c:pt>
                <c:pt idx="18">
                  <c:v>0.48333333333333328</c:v>
                </c:pt>
                <c:pt idx="19">
                  <c:v>0.93333333333333335</c:v>
                </c:pt>
                <c:pt idx="20">
                  <c:v>0.3666666666666667</c:v>
                </c:pt>
                <c:pt idx="21">
                  <c:v>0.2583333333333333</c:v>
                </c:pt>
                <c:pt idx="22">
                  <c:v>0.40833333333333333</c:v>
                </c:pt>
                <c:pt idx="23">
                  <c:v>0.30833333333333324</c:v>
                </c:pt>
                <c:pt idx="24">
                  <c:v>0.35833333333333328</c:v>
                </c:pt>
                <c:pt idx="25">
                  <c:v>0.48333333333333328</c:v>
                </c:pt>
                <c:pt idx="26">
                  <c:v>0.27500000000000002</c:v>
                </c:pt>
                <c:pt idx="27">
                  <c:v>0.3666666666666667</c:v>
                </c:pt>
                <c:pt idx="28">
                  <c:v>0.26666666666666661</c:v>
                </c:pt>
                <c:pt idx="29">
                  <c:v>0.38333333333333341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F63-437D-A373-5B44990FAE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98303456"/>
        <c:axId val="524749024"/>
      </c:barChart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0" tIns="0" rIns="0" bIns="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'coal blend sept 25'!$D$4:$D$33</c:f>
              <c:numCache>
                <c:formatCode>_-* #,##0_-;\-* #,##0_-;_-* "-"_-;_-@_-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F63-437D-A373-5B44990FAE77}"/>
            </c:ext>
          </c:extLst>
        </c:ser>
        <c:ser>
          <c:idx val="3"/>
          <c:order val="5"/>
          <c:tx>
            <c:v>DATE</c:v>
          </c:tx>
          <c:spPr>
            <a:ln w="34925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'coal blend sept 25'!$B$4:$B$33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F63-437D-A373-5B44990FAE7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76185576"/>
        <c:axId val="576186560"/>
      </c:lineChart>
      <c:valAx>
        <c:axId val="576186560"/>
        <c:scaling>
          <c:orientation val="minMax"/>
          <c:max val="5200"/>
          <c:min val="0"/>
        </c:scaling>
        <c:delete val="0"/>
        <c:axPos val="r"/>
        <c:numFmt formatCode="_-* #,##0_-;\-* #,##0_-;_-* &quot;-&quot;_-;_-@_-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185576"/>
        <c:crosses val="max"/>
        <c:crossBetween val="between"/>
      </c:valAx>
      <c:catAx>
        <c:axId val="576185576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TANGGAL</a:t>
                </a:r>
              </a:p>
            </c:rich>
          </c:tx>
          <c:layout>
            <c:manualLayout>
              <c:xMode val="edge"/>
              <c:yMode val="edge"/>
              <c:x val="0.47345888888888887"/>
              <c:y val="0.97078151986183059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crossAx val="576186560"/>
        <c:crosses val="autoZero"/>
        <c:auto val="1"/>
        <c:lblAlgn val="ctr"/>
        <c:lblOffset val="100"/>
        <c:noMultiLvlLbl val="0"/>
      </c:catAx>
      <c:valAx>
        <c:axId val="524749024"/>
        <c:scaling>
          <c:orientation val="minMax"/>
          <c:max val="52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Tonase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_-* #,##0_-;\-* #,##0_-;_-* &quot;-&quot;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303456"/>
        <c:crosses val="autoZero"/>
        <c:crossBetween val="between"/>
      </c:valAx>
      <c:catAx>
        <c:axId val="598303456"/>
        <c:scaling>
          <c:orientation val="minMax"/>
        </c:scaling>
        <c:delete val="1"/>
        <c:axPos val="b"/>
        <c:majorTickMark val="out"/>
        <c:minorTickMark val="none"/>
        <c:tickLblPos val="nextTo"/>
        <c:crossAx val="5247490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egendEntry>
        <c:idx val="1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D" sz="1400"/>
              <a:t>Blending</a:t>
            </a:r>
            <a:r>
              <a:rPr lang="en-ID" sz="1400" baseline="0"/>
              <a:t> Pengisian Unit 1</a:t>
            </a:r>
            <a:endParaRPr lang="en-ID" sz="140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9866759259259253E-2"/>
          <c:y val="0.14935182418386986"/>
          <c:w val="0.91016009259259256"/>
          <c:h val="0.78852824203189165"/>
        </c:manualLayout>
      </c:layout>
      <c:barChart>
        <c:barDir val="col"/>
        <c:grouping val="stacked"/>
        <c:varyColors val="0"/>
        <c:ser>
          <c:idx val="1"/>
          <c:order val="1"/>
          <c:tx>
            <c:v>MRC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'coal blend okt 25'!$G$4:$G$33</c:f>
              <c:numCache>
                <c:formatCode>_-* #,##0_-;\-* #,##0_-;_-* "-"_-;_-@_-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25-4B6B-9AD5-4E64A5B84478}"/>
            </c:ext>
          </c:extLst>
        </c:ser>
        <c:ser>
          <c:idx val="4"/>
          <c:order val="2"/>
          <c:tx>
            <c:v>MRC%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432000" rIns="39600" bIns="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'coal blend okt 25'!$E$4:$E$33</c:f>
              <c:numCache>
                <c:formatCode>0%</c:formatCode>
                <c:ptCount val="30"/>
                <c:pt idx="0">
                  <c:v>0.625</c:v>
                </c:pt>
                <c:pt idx="1">
                  <c:v>0.78333333333333321</c:v>
                </c:pt>
                <c:pt idx="2">
                  <c:v>1</c:v>
                </c:pt>
                <c:pt idx="3">
                  <c:v>0.61666666666666659</c:v>
                </c:pt>
                <c:pt idx="4">
                  <c:v>0.375</c:v>
                </c:pt>
                <c:pt idx="5">
                  <c:v>0.55000000000000004</c:v>
                </c:pt>
                <c:pt idx="6">
                  <c:v>0.52500000000000002</c:v>
                </c:pt>
                <c:pt idx="7">
                  <c:v>0.53333333333333333</c:v>
                </c:pt>
                <c:pt idx="8">
                  <c:v>0.76666666666666661</c:v>
                </c:pt>
                <c:pt idx="9">
                  <c:v>0.4916666666666667</c:v>
                </c:pt>
                <c:pt idx="10">
                  <c:v>0.3833333333333333</c:v>
                </c:pt>
                <c:pt idx="11">
                  <c:v>0.54999999999999993</c:v>
                </c:pt>
                <c:pt idx="12">
                  <c:v>0.75</c:v>
                </c:pt>
                <c:pt idx="13">
                  <c:v>0.91666666666666663</c:v>
                </c:pt>
                <c:pt idx="14">
                  <c:v>0.92499999999999993</c:v>
                </c:pt>
                <c:pt idx="15">
                  <c:v>0.81666666666666676</c:v>
                </c:pt>
                <c:pt idx="16">
                  <c:v>0.43333333333333335</c:v>
                </c:pt>
                <c:pt idx="17">
                  <c:v>0.73333333333333339</c:v>
                </c:pt>
                <c:pt idx="18">
                  <c:v>0.41666666666666669</c:v>
                </c:pt>
                <c:pt idx="19">
                  <c:v>0.57500000000000007</c:v>
                </c:pt>
                <c:pt idx="20">
                  <c:v>0.45</c:v>
                </c:pt>
                <c:pt idx="21">
                  <c:v>0.33333333333333331</c:v>
                </c:pt>
                <c:pt idx="22">
                  <c:v>0.39999999999999997</c:v>
                </c:pt>
                <c:pt idx="23">
                  <c:v>0.3833333333333333</c:v>
                </c:pt>
                <c:pt idx="24">
                  <c:v>0.33333333333333331</c:v>
                </c:pt>
                <c:pt idx="25">
                  <c:v>0.39999999999999997</c:v>
                </c:pt>
                <c:pt idx="26">
                  <c:v>0.45833333333333331</c:v>
                </c:pt>
                <c:pt idx="27">
                  <c:v>0.3833333333333333</c:v>
                </c:pt>
                <c:pt idx="28">
                  <c:v>0.51666666666666661</c:v>
                </c:pt>
                <c:pt idx="29">
                  <c:v>0.77500000000000002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25-4B6B-9AD5-4E64A5B84478}"/>
            </c:ext>
          </c:extLst>
        </c:ser>
        <c:ser>
          <c:idx val="2"/>
          <c:order val="3"/>
          <c:tx>
            <c:v>LRC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'coal blend okt 25'!$H$4:$H$33</c:f>
              <c:numCache>
                <c:formatCode>_-* #,##0_-;\-* #,##0_-;_-* "-"_-;_-@_-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25-4B6B-9AD5-4E64A5B84478}"/>
            </c:ext>
          </c:extLst>
        </c:ser>
        <c:ser>
          <c:idx val="5"/>
          <c:order val="4"/>
          <c:tx>
            <c:v>LRC%</c:v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0" rIns="38100" bIns="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'coal blend okt 25'!$F$4:$F$33</c:f>
              <c:numCache>
                <c:formatCode>0%</c:formatCode>
                <c:ptCount val="30"/>
                <c:pt idx="0">
                  <c:v>0.375</c:v>
                </c:pt>
                <c:pt idx="1">
                  <c:v>0.21666666666666679</c:v>
                </c:pt>
                <c:pt idx="2">
                  <c:v>0</c:v>
                </c:pt>
                <c:pt idx="3">
                  <c:v>0.38333333333333341</c:v>
                </c:pt>
                <c:pt idx="4">
                  <c:v>0.625</c:v>
                </c:pt>
                <c:pt idx="5">
                  <c:v>0.44999999999999996</c:v>
                </c:pt>
                <c:pt idx="6">
                  <c:v>0.47499999999999998</c:v>
                </c:pt>
                <c:pt idx="7">
                  <c:v>0.46666666666666667</c:v>
                </c:pt>
                <c:pt idx="8">
                  <c:v>0.23333333333333339</c:v>
                </c:pt>
                <c:pt idx="9">
                  <c:v>0.5083333333333333</c:v>
                </c:pt>
                <c:pt idx="10">
                  <c:v>0.6166666666666667</c:v>
                </c:pt>
                <c:pt idx="11">
                  <c:v>0.45000000000000007</c:v>
                </c:pt>
                <c:pt idx="12">
                  <c:v>0.25</c:v>
                </c:pt>
                <c:pt idx="13">
                  <c:v>8.333333333333337E-2</c:v>
                </c:pt>
                <c:pt idx="14">
                  <c:v>7.5000000000000067E-2</c:v>
                </c:pt>
                <c:pt idx="15">
                  <c:v>0.18333333333333324</c:v>
                </c:pt>
                <c:pt idx="16">
                  <c:v>0.56666666666666665</c:v>
                </c:pt>
                <c:pt idx="17">
                  <c:v>0.26666666666666661</c:v>
                </c:pt>
                <c:pt idx="18">
                  <c:v>0.58333333333333326</c:v>
                </c:pt>
                <c:pt idx="19">
                  <c:v>0.42499999999999993</c:v>
                </c:pt>
                <c:pt idx="20">
                  <c:v>0.55000000000000004</c:v>
                </c:pt>
                <c:pt idx="21">
                  <c:v>0.66666666666666674</c:v>
                </c:pt>
                <c:pt idx="22">
                  <c:v>0.60000000000000009</c:v>
                </c:pt>
                <c:pt idx="23">
                  <c:v>0.6166666666666667</c:v>
                </c:pt>
                <c:pt idx="24">
                  <c:v>0.66666666666666674</c:v>
                </c:pt>
                <c:pt idx="25">
                  <c:v>0.60000000000000009</c:v>
                </c:pt>
                <c:pt idx="26">
                  <c:v>0.54166666666666674</c:v>
                </c:pt>
                <c:pt idx="27">
                  <c:v>0.6166666666666667</c:v>
                </c:pt>
                <c:pt idx="28">
                  <c:v>0.48333333333333339</c:v>
                </c:pt>
                <c:pt idx="29">
                  <c:v>0.22499999999999998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25-4B6B-9AD5-4E64A5B84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98303456"/>
        <c:axId val="524749024"/>
      </c:barChart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0" tIns="0" rIns="0" bIns="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'coal blend okt 25'!$D$4:$D$33</c:f>
              <c:numCache>
                <c:formatCode>_-* #,##0_-;\-* #,##0_-;_-* "-"_-;_-@_-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525-4B6B-9AD5-4E64A5B84478}"/>
            </c:ext>
          </c:extLst>
        </c:ser>
        <c:ser>
          <c:idx val="3"/>
          <c:order val="5"/>
          <c:tx>
            <c:v>DATE</c:v>
          </c:tx>
          <c:spPr>
            <a:ln w="34925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'coal blend okt 25'!$B$4:$B$33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525-4B6B-9AD5-4E64A5B8447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76185576"/>
        <c:axId val="576186560"/>
      </c:lineChart>
      <c:valAx>
        <c:axId val="576186560"/>
        <c:scaling>
          <c:orientation val="minMax"/>
          <c:max val="5200"/>
          <c:min val="0"/>
        </c:scaling>
        <c:delete val="0"/>
        <c:axPos val="r"/>
        <c:numFmt formatCode="_-* #,##0_-;\-* #,##0_-;_-* &quot;-&quot;_-;_-@_-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185576"/>
        <c:crosses val="max"/>
        <c:crossBetween val="between"/>
      </c:valAx>
      <c:catAx>
        <c:axId val="576185576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TANGGAL</a:t>
                </a:r>
              </a:p>
            </c:rich>
          </c:tx>
          <c:layout>
            <c:manualLayout>
              <c:xMode val="edge"/>
              <c:yMode val="edge"/>
              <c:x val="0.47345888888888887"/>
              <c:y val="0.97078151986183059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crossAx val="576186560"/>
        <c:crosses val="autoZero"/>
        <c:auto val="1"/>
        <c:lblAlgn val="ctr"/>
        <c:lblOffset val="100"/>
        <c:noMultiLvlLbl val="0"/>
      </c:catAx>
      <c:valAx>
        <c:axId val="524749024"/>
        <c:scaling>
          <c:orientation val="minMax"/>
          <c:max val="52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Tonase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_-* #,##0_-;\-* #,##0_-;_-* &quot;-&quot;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303456"/>
        <c:crosses val="autoZero"/>
        <c:crossBetween val="between"/>
      </c:valAx>
      <c:catAx>
        <c:axId val="598303456"/>
        <c:scaling>
          <c:orientation val="minMax"/>
        </c:scaling>
        <c:delete val="1"/>
        <c:axPos val="b"/>
        <c:majorTickMark val="out"/>
        <c:minorTickMark val="none"/>
        <c:tickLblPos val="nextTo"/>
        <c:crossAx val="5247490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egendEntry>
        <c:idx val="1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D" sz="1400"/>
              <a:t>Blending</a:t>
            </a:r>
            <a:r>
              <a:rPr lang="en-ID" sz="1400" baseline="0"/>
              <a:t> Pengisian Unit 1</a:t>
            </a:r>
            <a:endParaRPr lang="en-ID" sz="140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9866759259259253E-2"/>
          <c:y val="0.14935182418386986"/>
          <c:w val="0.91016009259259256"/>
          <c:h val="0.78852824203189165"/>
        </c:manualLayout>
      </c:layout>
      <c:barChart>
        <c:barDir val="col"/>
        <c:grouping val="stacked"/>
        <c:varyColors val="0"/>
        <c:ser>
          <c:idx val="1"/>
          <c:order val="1"/>
          <c:tx>
            <c:v>MRC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'coal blend nov 25'!$G$4:$G$33</c:f>
              <c:numCache>
                <c:formatCode>_-* #,##0_-;\-* #,##0_-;_-* "-"_-;_-@_-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42-4E20-8801-58B92A85D420}"/>
            </c:ext>
          </c:extLst>
        </c:ser>
        <c:ser>
          <c:idx val="4"/>
          <c:order val="2"/>
          <c:tx>
            <c:v>MRC%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432000" rIns="39600" bIns="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'coal blend nov 25'!$E$4:$E$33</c:f>
              <c:numCache>
                <c:formatCode>0%</c:formatCode>
                <c:ptCount val="30"/>
                <c:pt idx="0">
                  <c:v>0.25</c:v>
                </c:pt>
                <c:pt idx="1">
                  <c:v>0.48333333333333334</c:v>
                </c:pt>
                <c:pt idx="2">
                  <c:v>0.56666666666666665</c:v>
                </c:pt>
                <c:pt idx="3">
                  <c:v>0.60833333333333339</c:v>
                </c:pt>
                <c:pt idx="4">
                  <c:v>0.8833333333333333</c:v>
                </c:pt>
                <c:pt idx="5">
                  <c:v>0.64166666666666661</c:v>
                </c:pt>
                <c:pt idx="6">
                  <c:v>0.55000000000000004</c:v>
                </c:pt>
                <c:pt idx="7">
                  <c:v>0.73333333333333339</c:v>
                </c:pt>
                <c:pt idx="8">
                  <c:v>0.65</c:v>
                </c:pt>
                <c:pt idx="9">
                  <c:v>0.73333333333333339</c:v>
                </c:pt>
                <c:pt idx="10">
                  <c:v>0.45</c:v>
                </c:pt>
                <c:pt idx="11">
                  <c:v>0.56666666666666676</c:v>
                </c:pt>
                <c:pt idx="12">
                  <c:v>0.31666666666666671</c:v>
                </c:pt>
                <c:pt idx="13">
                  <c:v>0.45</c:v>
                </c:pt>
                <c:pt idx="14">
                  <c:v>0.45</c:v>
                </c:pt>
                <c:pt idx="15">
                  <c:v>0.18333333333333335</c:v>
                </c:pt>
                <c:pt idx="16">
                  <c:v>0.26666666666666666</c:v>
                </c:pt>
                <c:pt idx="17">
                  <c:v>0.11666666666666665</c:v>
                </c:pt>
                <c:pt idx="18">
                  <c:v>0</c:v>
                </c:pt>
                <c:pt idx="19">
                  <c:v>0.43333333333333335</c:v>
                </c:pt>
                <c:pt idx="20">
                  <c:v>0.75</c:v>
                </c:pt>
                <c:pt idx="21">
                  <c:v>0.25</c:v>
                </c:pt>
                <c:pt idx="22">
                  <c:v>0</c:v>
                </c:pt>
                <c:pt idx="23">
                  <c:v>0.23333333333333331</c:v>
                </c:pt>
                <c:pt idx="24">
                  <c:v>4.9999999999999996E-2</c:v>
                </c:pt>
                <c:pt idx="25">
                  <c:v>9.9999999999999992E-2</c:v>
                </c:pt>
                <c:pt idx="26">
                  <c:v>0.3666666666666667</c:v>
                </c:pt>
                <c:pt idx="27">
                  <c:v>0.19999999999999998</c:v>
                </c:pt>
                <c:pt idx="28">
                  <c:v>0.5</c:v>
                </c:pt>
                <c:pt idx="29">
                  <c:v>0.3666666666666667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42-4E20-8801-58B92A85D420}"/>
            </c:ext>
          </c:extLst>
        </c:ser>
        <c:ser>
          <c:idx val="2"/>
          <c:order val="3"/>
          <c:tx>
            <c:v>LRC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'coal blend nov 25'!$H$4:$H$33</c:f>
              <c:numCache>
                <c:formatCode>_-* #,##0_-;\-* #,##0_-;_-* "-"_-;_-@_-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42-4E20-8801-58B92A85D420}"/>
            </c:ext>
          </c:extLst>
        </c:ser>
        <c:ser>
          <c:idx val="5"/>
          <c:order val="4"/>
          <c:tx>
            <c:v>LRC%</c:v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0" rIns="38100" bIns="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'coal blend nov 25'!$F$4:$F$33</c:f>
              <c:numCache>
                <c:formatCode>0%</c:formatCode>
                <c:ptCount val="30"/>
                <c:pt idx="0">
                  <c:v>0.75</c:v>
                </c:pt>
                <c:pt idx="1">
                  <c:v>0.51666666666666661</c:v>
                </c:pt>
                <c:pt idx="2">
                  <c:v>0.43333333333333335</c:v>
                </c:pt>
                <c:pt idx="3">
                  <c:v>0.39166666666666661</c:v>
                </c:pt>
                <c:pt idx="4">
                  <c:v>0.1166666666666667</c:v>
                </c:pt>
                <c:pt idx="5">
                  <c:v>0.35833333333333339</c:v>
                </c:pt>
                <c:pt idx="6">
                  <c:v>0.44999999999999996</c:v>
                </c:pt>
                <c:pt idx="7">
                  <c:v>0.26666666666666661</c:v>
                </c:pt>
                <c:pt idx="8">
                  <c:v>0.35</c:v>
                </c:pt>
                <c:pt idx="9">
                  <c:v>0.26666666666666661</c:v>
                </c:pt>
                <c:pt idx="10">
                  <c:v>0.55000000000000004</c:v>
                </c:pt>
                <c:pt idx="11">
                  <c:v>0.43333333333333324</c:v>
                </c:pt>
                <c:pt idx="12">
                  <c:v>0.68333333333333335</c:v>
                </c:pt>
                <c:pt idx="13">
                  <c:v>0.55000000000000004</c:v>
                </c:pt>
                <c:pt idx="14">
                  <c:v>0.55000000000000004</c:v>
                </c:pt>
                <c:pt idx="15">
                  <c:v>0.81666666666666665</c:v>
                </c:pt>
                <c:pt idx="16">
                  <c:v>0.73333333333333339</c:v>
                </c:pt>
                <c:pt idx="17">
                  <c:v>0.8833333333333333</c:v>
                </c:pt>
                <c:pt idx="18">
                  <c:v>1</c:v>
                </c:pt>
                <c:pt idx="19">
                  <c:v>0.56666666666666665</c:v>
                </c:pt>
                <c:pt idx="20">
                  <c:v>0.25</c:v>
                </c:pt>
                <c:pt idx="21">
                  <c:v>0.75</c:v>
                </c:pt>
                <c:pt idx="22">
                  <c:v>1</c:v>
                </c:pt>
                <c:pt idx="23">
                  <c:v>0.76666666666666672</c:v>
                </c:pt>
                <c:pt idx="24">
                  <c:v>0.95</c:v>
                </c:pt>
                <c:pt idx="25">
                  <c:v>0.9</c:v>
                </c:pt>
                <c:pt idx="26">
                  <c:v>0.6333333333333333</c:v>
                </c:pt>
                <c:pt idx="27">
                  <c:v>0.8</c:v>
                </c:pt>
                <c:pt idx="28">
                  <c:v>0.5</c:v>
                </c:pt>
                <c:pt idx="29">
                  <c:v>0.6333333333333333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842-4E20-8801-58B92A85D4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98303456"/>
        <c:axId val="524749024"/>
      </c:barChart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0" tIns="0" rIns="0" bIns="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'coal blend nov 25'!$D$4:$D$33</c:f>
              <c:numCache>
                <c:formatCode>_-* #,##0_-;\-* #,##0_-;_-* "-"_-;_-@_-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842-4E20-8801-58B92A85D420}"/>
            </c:ext>
          </c:extLst>
        </c:ser>
        <c:ser>
          <c:idx val="3"/>
          <c:order val="5"/>
          <c:tx>
            <c:v>DATE</c:v>
          </c:tx>
          <c:spPr>
            <a:ln w="34925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'coal blend nov 25'!$B$4:$B$33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842-4E20-8801-58B92A85D42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76185576"/>
        <c:axId val="576186560"/>
      </c:lineChart>
      <c:valAx>
        <c:axId val="576186560"/>
        <c:scaling>
          <c:orientation val="minMax"/>
          <c:max val="5200"/>
          <c:min val="0"/>
        </c:scaling>
        <c:delete val="0"/>
        <c:axPos val="r"/>
        <c:numFmt formatCode="_-* #,##0_-;\-* #,##0_-;_-* &quot;-&quot;_-;_-@_-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185576"/>
        <c:crosses val="max"/>
        <c:crossBetween val="between"/>
      </c:valAx>
      <c:catAx>
        <c:axId val="576185576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TANGGAL</a:t>
                </a:r>
              </a:p>
            </c:rich>
          </c:tx>
          <c:layout>
            <c:manualLayout>
              <c:xMode val="edge"/>
              <c:yMode val="edge"/>
              <c:x val="0.47345888888888887"/>
              <c:y val="0.97078151986183059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crossAx val="576186560"/>
        <c:crosses val="autoZero"/>
        <c:auto val="1"/>
        <c:lblAlgn val="ctr"/>
        <c:lblOffset val="100"/>
        <c:noMultiLvlLbl val="0"/>
      </c:catAx>
      <c:valAx>
        <c:axId val="524749024"/>
        <c:scaling>
          <c:orientation val="minMax"/>
          <c:max val="52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Tonase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_-* #,##0_-;\-* #,##0_-;_-* &quot;-&quot;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303456"/>
        <c:crosses val="autoZero"/>
        <c:crossBetween val="between"/>
      </c:valAx>
      <c:catAx>
        <c:axId val="598303456"/>
        <c:scaling>
          <c:orientation val="minMax"/>
        </c:scaling>
        <c:delete val="1"/>
        <c:axPos val="b"/>
        <c:majorTickMark val="out"/>
        <c:minorTickMark val="none"/>
        <c:tickLblPos val="nextTo"/>
        <c:crossAx val="5247490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egendEntry>
        <c:idx val="1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D" sz="1400"/>
              <a:t>Blending</a:t>
            </a:r>
            <a:r>
              <a:rPr lang="en-ID" sz="1400" baseline="0"/>
              <a:t> Pengisian Unit 1</a:t>
            </a:r>
            <a:endParaRPr lang="en-ID" sz="140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9866759259259253E-2"/>
          <c:y val="0.14935182418386986"/>
          <c:w val="0.91016009259259256"/>
          <c:h val="0.78852824203189165"/>
        </c:manualLayout>
      </c:layout>
      <c:barChart>
        <c:barDir val="col"/>
        <c:grouping val="stacked"/>
        <c:varyColors val="0"/>
        <c:ser>
          <c:idx val="1"/>
          <c:order val="1"/>
          <c:tx>
            <c:v>MRC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'coal blend des 25'!$G$4:$G$33</c:f>
              <c:numCache>
                <c:formatCode>_-* #,##0_-;\-* #,##0_-;_-* "-"_-;_-@_-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A4-44C4-BEC9-B5028FDF6415}"/>
            </c:ext>
          </c:extLst>
        </c:ser>
        <c:ser>
          <c:idx val="4"/>
          <c:order val="2"/>
          <c:tx>
            <c:v>MRC%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432000" rIns="39600" bIns="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'coal blend des 25'!$E$4:$E$33</c:f>
              <c:numCache>
                <c:formatCode>0%</c:formatCode>
                <c:ptCount val="30"/>
                <c:pt idx="0">
                  <c:v>0.3666666666666667</c:v>
                </c:pt>
                <c:pt idx="1">
                  <c:v>0.16666666666666666</c:v>
                </c:pt>
                <c:pt idx="2">
                  <c:v>0.31666666666666665</c:v>
                </c:pt>
                <c:pt idx="3">
                  <c:v>0.3</c:v>
                </c:pt>
                <c:pt idx="4">
                  <c:v>0.3</c:v>
                </c:pt>
                <c:pt idx="5">
                  <c:v>0.40833333333333338</c:v>
                </c:pt>
                <c:pt idx="6">
                  <c:v>0.31666666666666665</c:v>
                </c:pt>
                <c:pt idx="7">
                  <c:v>0.33333333333333331</c:v>
                </c:pt>
                <c:pt idx="8">
                  <c:v>0.3</c:v>
                </c:pt>
                <c:pt idx="9">
                  <c:v>0.39999999999999997</c:v>
                </c:pt>
                <c:pt idx="10">
                  <c:v>0.45</c:v>
                </c:pt>
                <c:pt idx="11">
                  <c:v>0.5</c:v>
                </c:pt>
                <c:pt idx="12">
                  <c:v>0.30833333333333329</c:v>
                </c:pt>
                <c:pt idx="13">
                  <c:v>0.42499999999999999</c:v>
                </c:pt>
                <c:pt idx="14">
                  <c:v>0.46666666666666662</c:v>
                </c:pt>
                <c:pt idx="15">
                  <c:v>0.54999999999999993</c:v>
                </c:pt>
                <c:pt idx="16">
                  <c:v>0.33333333333333331</c:v>
                </c:pt>
                <c:pt idx="17">
                  <c:v>0.21666666666666667</c:v>
                </c:pt>
                <c:pt idx="18">
                  <c:v>0.16666666666666666</c:v>
                </c:pt>
                <c:pt idx="19">
                  <c:v>0.46666666666666662</c:v>
                </c:pt>
                <c:pt idx="20">
                  <c:v>0.51666666666666672</c:v>
                </c:pt>
                <c:pt idx="21">
                  <c:v>0.40000000000000008</c:v>
                </c:pt>
                <c:pt idx="22">
                  <c:v>0.2583333333333333</c:v>
                </c:pt>
                <c:pt idx="23">
                  <c:v>0.33333333333333331</c:v>
                </c:pt>
                <c:pt idx="24">
                  <c:v>0.44999999999999996</c:v>
                </c:pt>
                <c:pt idx="25">
                  <c:v>0.51666666666666672</c:v>
                </c:pt>
                <c:pt idx="26">
                  <c:v>0.41666666666666669</c:v>
                </c:pt>
                <c:pt idx="27">
                  <c:v>0.25833333333333336</c:v>
                </c:pt>
                <c:pt idx="28">
                  <c:v>8.3333333333333329E-2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A4-44C4-BEC9-B5028FDF6415}"/>
            </c:ext>
          </c:extLst>
        </c:ser>
        <c:ser>
          <c:idx val="2"/>
          <c:order val="3"/>
          <c:tx>
            <c:v>LRC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'coal blend des 25'!$H$4:$H$33</c:f>
              <c:numCache>
                <c:formatCode>_-* #,##0_-;\-* #,##0_-;_-* "-"_-;_-@_-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A4-44C4-BEC9-B5028FDF6415}"/>
            </c:ext>
          </c:extLst>
        </c:ser>
        <c:ser>
          <c:idx val="5"/>
          <c:order val="4"/>
          <c:tx>
            <c:v>LRC%</c:v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0" rIns="38100" bIns="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'coal blend des 25'!$F$4:$F$33</c:f>
              <c:numCache>
                <c:formatCode>0%</c:formatCode>
                <c:ptCount val="30"/>
                <c:pt idx="0">
                  <c:v>0.6333333333333333</c:v>
                </c:pt>
                <c:pt idx="1">
                  <c:v>0.83333333333333337</c:v>
                </c:pt>
                <c:pt idx="2">
                  <c:v>0.68333333333333335</c:v>
                </c:pt>
                <c:pt idx="3">
                  <c:v>0.7</c:v>
                </c:pt>
                <c:pt idx="4">
                  <c:v>0.7</c:v>
                </c:pt>
                <c:pt idx="5">
                  <c:v>0.59166666666666656</c:v>
                </c:pt>
                <c:pt idx="6">
                  <c:v>0.68333333333333335</c:v>
                </c:pt>
                <c:pt idx="7">
                  <c:v>0.66666666666666674</c:v>
                </c:pt>
                <c:pt idx="8">
                  <c:v>0.7</c:v>
                </c:pt>
                <c:pt idx="9">
                  <c:v>0.60000000000000009</c:v>
                </c:pt>
                <c:pt idx="10">
                  <c:v>0.55000000000000004</c:v>
                </c:pt>
                <c:pt idx="11">
                  <c:v>0.5</c:v>
                </c:pt>
                <c:pt idx="12">
                  <c:v>0.69166666666666665</c:v>
                </c:pt>
                <c:pt idx="13">
                  <c:v>0.57499999999999996</c:v>
                </c:pt>
                <c:pt idx="14">
                  <c:v>0.53333333333333344</c:v>
                </c:pt>
                <c:pt idx="15">
                  <c:v>0.45000000000000007</c:v>
                </c:pt>
                <c:pt idx="16">
                  <c:v>0.66666666666666674</c:v>
                </c:pt>
                <c:pt idx="17">
                  <c:v>0.78333333333333333</c:v>
                </c:pt>
                <c:pt idx="18">
                  <c:v>0.83333333333333337</c:v>
                </c:pt>
                <c:pt idx="19">
                  <c:v>0.53333333333333344</c:v>
                </c:pt>
                <c:pt idx="20">
                  <c:v>0.48333333333333328</c:v>
                </c:pt>
                <c:pt idx="21">
                  <c:v>0.59999999999999987</c:v>
                </c:pt>
                <c:pt idx="22">
                  <c:v>0.7416666666666667</c:v>
                </c:pt>
                <c:pt idx="23">
                  <c:v>0.66666666666666674</c:v>
                </c:pt>
                <c:pt idx="24">
                  <c:v>0.55000000000000004</c:v>
                </c:pt>
                <c:pt idx="25">
                  <c:v>0.48333333333333328</c:v>
                </c:pt>
                <c:pt idx="26">
                  <c:v>0.58333333333333326</c:v>
                </c:pt>
                <c:pt idx="27">
                  <c:v>0.7416666666666667</c:v>
                </c:pt>
                <c:pt idx="28">
                  <c:v>0.91666666666666663</c:v>
                </c:pt>
                <c:pt idx="2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A4-44C4-BEC9-B5028FDF6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98303456"/>
        <c:axId val="524749024"/>
      </c:barChart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0" tIns="0" rIns="0" bIns="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'coal blend des 25'!$D$4:$D$33</c:f>
              <c:numCache>
                <c:formatCode>_-* #,##0_-;\-* #,##0_-;_-* "-"_-;_-@_-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3A4-44C4-BEC9-B5028FDF6415}"/>
            </c:ext>
          </c:extLst>
        </c:ser>
        <c:ser>
          <c:idx val="3"/>
          <c:order val="5"/>
          <c:tx>
            <c:v>DATE</c:v>
          </c:tx>
          <c:spPr>
            <a:ln w="34925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'coal blend des 25'!$B$4:$B$33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3A4-44C4-BEC9-B5028FDF641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76185576"/>
        <c:axId val="576186560"/>
      </c:lineChart>
      <c:valAx>
        <c:axId val="576186560"/>
        <c:scaling>
          <c:orientation val="minMax"/>
          <c:max val="5200"/>
          <c:min val="0"/>
        </c:scaling>
        <c:delete val="0"/>
        <c:axPos val="r"/>
        <c:numFmt formatCode="_-* #,##0_-;\-* #,##0_-;_-* &quot;-&quot;_-;_-@_-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185576"/>
        <c:crosses val="max"/>
        <c:crossBetween val="between"/>
      </c:valAx>
      <c:catAx>
        <c:axId val="576185576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TANGGAL</a:t>
                </a:r>
              </a:p>
            </c:rich>
          </c:tx>
          <c:layout>
            <c:manualLayout>
              <c:xMode val="edge"/>
              <c:yMode val="edge"/>
              <c:x val="0.47345888888888887"/>
              <c:y val="0.97078151986183059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crossAx val="576186560"/>
        <c:crosses val="autoZero"/>
        <c:auto val="1"/>
        <c:lblAlgn val="ctr"/>
        <c:lblOffset val="100"/>
        <c:noMultiLvlLbl val="0"/>
      </c:catAx>
      <c:valAx>
        <c:axId val="524749024"/>
        <c:scaling>
          <c:orientation val="minMax"/>
          <c:max val="52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Tonase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_-* #,##0_-;\-* #,##0_-;_-* &quot;-&quot;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303456"/>
        <c:crosses val="autoZero"/>
        <c:crossBetween val="between"/>
      </c:valAx>
      <c:catAx>
        <c:axId val="598303456"/>
        <c:scaling>
          <c:orientation val="minMax"/>
        </c:scaling>
        <c:delete val="1"/>
        <c:axPos val="b"/>
        <c:majorTickMark val="out"/>
        <c:minorTickMark val="none"/>
        <c:tickLblPos val="nextTo"/>
        <c:crossAx val="5247490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egendEntry>
        <c:idx val="1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D" sz="1400"/>
              <a:t>Blending</a:t>
            </a:r>
            <a:r>
              <a:rPr lang="en-ID" sz="1400" baseline="0"/>
              <a:t> Pengisian Unit 1</a:t>
            </a:r>
            <a:endParaRPr lang="en-ID" sz="140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9866759259259253E-2"/>
          <c:y val="0.14935182418386986"/>
          <c:w val="0.91016009259259256"/>
          <c:h val="0.78852824203189165"/>
        </c:manualLayout>
      </c:layout>
      <c:barChart>
        <c:barDir val="col"/>
        <c:grouping val="stacked"/>
        <c:varyColors val="0"/>
        <c:ser>
          <c:idx val="1"/>
          <c:order val="1"/>
          <c:tx>
            <c:v>MRC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'coal blend jan 26'!$G$4:$G$33</c:f>
              <c:numCache>
                <c:formatCode>_-* #,##0_-;\-* #,##0_-;_-* "-"_-;_-@_-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6E-4D97-95D4-10F349DE73DB}"/>
            </c:ext>
          </c:extLst>
        </c:ser>
        <c:ser>
          <c:idx val="4"/>
          <c:order val="2"/>
          <c:tx>
            <c:v>MRC%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432000" rIns="39600" bIns="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'coal blend jan 26'!$E$4:$E$33</c:f>
              <c:numCache>
                <c:formatCode>0%</c:formatCode>
                <c:ptCount val="30"/>
                <c:pt idx="0">
                  <c:v>3.3333333333333333E-2</c:v>
                </c:pt>
                <c:pt idx="1">
                  <c:v>9.9999999999999992E-2</c:v>
                </c:pt>
                <c:pt idx="2">
                  <c:v>0.13333333333333333</c:v>
                </c:pt>
                <c:pt idx="3">
                  <c:v>4.9999999999999996E-2</c:v>
                </c:pt>
                <c:pt idx="4">
                  <c:v>0.35833333333333339</c:v>
                </c:pt>
                <c:pt idx="5">
                  <c:v>0.5</c:v>
                </c:pt>
                <c:pt idx="6">
                  <c:v>0.35833333333333334</c:v>
                </c:pt>
                <c:pt idx="7">
                  <c:v>0.69166666666666676</c:v>
                </c:pt>
                <c:pt idx="8">
                  <c:v>0.5</c:v>
                </c:pt>
                <c:pt idx="9">
                  <c:v>0.6166666666666667</c:v>
                </c:pt>
                <c:pt idx="10">
                  <c:v>0.66666666666666663</c:v>
                </c:pt>
                <c:pt idx="11">
                  <c:v>0.29166666666666669</c:v>
                </c:pt>
                <c:pt idx="12">
                  <c:v>0.43333333333333335</c:v>
                </c:pt>
                <c:pt idx="13">
                  <c:v>0.6</c:v>
                </c:pt>
                <c:pt idx="14">
                  <c:v>0.46666666666666662</c:v>
                </c:pt>
                <c:pt idx="15">
                  <c:v>0.5</c:v>
                </c:pt>
                <c:pt idx="16">
                  <c:v>0.60833333333333328</c:v>
                </c:pt>
                <c:pt idx="17">
                  <c:v>0.6</c:v>
                </c:pt>
                <c:pt idx="18">
                  <c:v>0.58333333333333337</c:v>
                </c:pt>
                <c:pt idx="19">
                  <c:v>0.13333333333333333</c:v>
                </c:pt>
                <c:pt idx="20">
                  <c:v>0.19999999999999998</c:v>
                </c:pt>
                <c:pt idx="21">
                  <c:v>8.3333333333333329E-2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6E-4D97-95D4-10F349DE73DB}"/>
            </c:ext>
          </c:extLst>
        </c:ser>
        <c:ser>
          <c:idx val="2"/>
          <c:order val="3"/>
          <c:tx>
            <c:v>LRC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'coal blend jan 26'!$H$4:$H$33</c:f>
              <c:numCache>
                <c:formatCode>_-* #,##0_-;\-* #,##0_-;_-* "-"_-;_-@_-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6E-4D97-95D4-10F349DE73DB}"/>
            </c:ext>
          </c:extLst>
        </c:ser>
        <c:ser>
          <c:idx val="5"/>
          <c:order val="4"/>
          <c:tx>
            <c:v>LRC%</c:v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0" rIns="38100" bIns="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'coal blend jan 26'!$F$4:$F$33</c:f>
              <c:numCache>
                <c:formatCode>0%</c:formatCode>
                <c:ptCount val="30"/>
                <c:pt idx="0">
                  <c:v>0.96666666666666667</c:v>
                </c:pt>
                <c:pt idx="1">
                  <c:v>0.9</c:v>
                </c:pt>
                <c:pt idx="2">
                  <c:v>0.8666666666666667</c:v>
                </c:pt>
                <c:pt idx="3">
                  <c:v>0.95</c:v>
                </c:pt>
                <c:pt idx="4">
                  <c:v>0.64166666666666661</c:v>
                </c:pt>
                <c:pt idx="5">
                  <c:v>0.5</c:v>
                </c:pt>
                <c:pt idx="6">
                  <c:v>0.64166666666666661</c:v>
                </c:pt>
                <c:pt idx="7">
                  <c:v>0.30833333333333324</c:v>
                </c:pt>
                <c:pt idx="8">
                  <c:v>0.5</c:v>
                </c:pt>
                <c:pt idx="9">
                  <c:v>0.3833333333333333</c:v>
                </c:pt>
                <c:pt idx="10">
                  <c:v>0.33333333333333337</c:v>
                </c:pt>
                <c:pt idx="11">
                  <c:v>0.70833333333333326</c:v>
                </c:pt>
                <c:pt idx="12">
                  <c:v>0.56666666666666665</c:v>
                </c:pt>
                <c:pt idx="13">
                  <c:v>0.4</c:v>
                </c:pt>
                <c:pt idx="14">
                  <c:v>0.53333333333333344</c:v>
                </c:pt>
                <c:pt idx="15">
                  <c:v>0.5</c:v>
                </c:pt>
                <c:pt idx="16">
                  <c:v>0.39166666666666672</c:v>
                </c:pt>
                <c:pt idx="17">
                  <c:v>0.4</c:v>
                </c:pt>
                <c:pt idx="18">
                  <c:v>0.41666666666666663</c:v>
                </c:pt>
                <c:pt idx="19">
                  <c:v>0.8666666666666667</c:v>
                </c:pt>
                <c:pt idx="20">
                  <c:v>0.8</c:v>
                </c:pt>
                <c:pt idx="21">
                  <c:v>0.91666666666666663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6E-4D97-95D4-10F349DE73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98303456"/>
        <c:axId val="524749024"/>
      </c:barChart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0" tIns="0" rIns="0" bIns="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'coal blend jan 26'!$D$4:$D$33</c:f>
              <c:numCache>
                <c:formatCode>_-* #,##0_-;\-* #,##0_-;_-* "-"_-;_-@_-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96E-4D97-95D4-10F349DE73DB}"/>
            </c:ext>
          </c:extLst>
        </c:ser>
        <c:ser>
          <c:idx val="3"/>
          <c:order val="5"/>
          <c:tx>
            <c:v>DATE</c:v>
          </c:tx>
          <c:spPr>
            <a:ln w="34925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'coal blend jan 26'!$B$4:$B$33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96E-4D97-95D4-10F349DE73D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76185576"/>
        <c:axId val="576186560"/>
      </c:lineChart>
      <c:valAx>
        <c:axId val="576186560"/>
        <c:scaling>
          <c:orientation val="minMax"/>
          <c:max val="5200"/>
          <c:min val="0"/>
        </c:scaling>
        <c:delete val="0"/>
        <c:axPos val="r"/>
        <c:numFmt formatCode="_-* #,##0_-;\-* #,##0_-;_-* &quot;-&quot;_-;_-@_-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185576"/>
        <c:crosses val="max"/>
        <c:crossBetween val="between"/>
      </c:valAx>
      <c:catAx>
        <c:axId val="576185576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TANGGAL</a:t>
                </a:r>
              </a:p>
            </c:rich>
          </c:tx>
          <c:layout>
            <c:manualLayout>
              <c:xMode val="edge"/>
              <c:yMode val="edge"/>
              <c:x val="0.47345888888888887"/>
              <c:y val="0.97078151986183059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crossAx val="576186560"/>
        <c:crosses val="autoZero"/>
        <c:auto val="1"/>
        <c:lblAlgn val="ctr"/>
        <c:lblOffset val="100"/>
        <c:noMultiLvlLbl val="0"/>
      </c:catAx>
      <c:valAx>
        <c:axId val="524749024"/>
        <c:scaling>
          <c:orientation val="minMax"/>
          <c:max val="52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Tonase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_-* #,##0_-;\-* #,##0_-;_-* &quot;-&quot;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303456"/>
        <c:crosses val="autoZero"/>
        <c:crossBetween val="between"/>
      </c:valAx>
      <c:catAx>
        <c:axId val="598303456"/>
        <c:scaling>
          <c:orientation val="minMax"/>
        </c:scaling>
        <c:delete val="1"/>
        <c:axPos val="b"/>
        <c:majorTickMark val="out"/>
        <c:minorTickMark val="none"/>
        <c:tickLblPos val="nextTo"/>
        <c:crossAx val="5247490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egendEntry>
        <c:idx val="1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D" sz="1400"/>
              <a:t>Blending</a:t>
            </a:r>
            <a:r>
              <a:rPr lang="en-ID" sz="1400" baseline="0"/>
              <a:t> Pengisian Unit 1</a:t>
            </a:r>
            <a:endParaRPr lang="en-ID" sz="140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9866759259259253E-2"/>
          <c:y val="0.14935182418386986"/>
          <c:w val="0.91016009259259256"/>
          <c:h val="0.78852824203189165"/>
        </c:manualLayout>
      </c:layout>
      <c:barChart>
        <c:barDir val="col"/>
        <c:grouping val="stacked"/>
        <c:varyColors val="0"/>
        <c:ser>
          <c:idx val="1"/>
          <c:order val="1"/>
          <c:tx>
            <c:v>MRC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'coal blend feb 26'!$G$4:$G$33</c:f>
              <c:numCache>
                <c:formatCode>_-* #,##0_-;\-* #,##0_-;_-* "-"_-;_-@_-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7A-4EC0-90EC-C61CE5418B38}"/>
            </c:ext>
          </c:extLst>
        </c:ser>
        <c:ser>
          <c:idx val="4"/>
          <c:order val="2"/>
          <c:tx>
            <c:v>MRC%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432000" rIns="39600" bIns="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'coal blend feb 26'!$E$4:$E$33</c:f>
              <c:numCache>
                <c:formatCode>0%</c:formatCode>
                <c:ptCount val="30"/>
                <c:pt idx="0">
                  <c:v>0.22500000000000001</c:v>
                </c:pt>
                <c:pt idx="1">
                  <c:v>0.48333333333333334</c:v>
                </c:pt>
                <c:pt idx="2">
                  <c:v>0.71666666666666679</c:v>
                </c:pt>
                <c:pt idx="3">
                  <c:v>0.95833333333333337</c:v>
                </c:pt>
                <c:pt idx="4">
                  <c:v>0.25</c:v>
                </c:pt>
                <c:pt idx="5">
                  <c:v>0.58333333333333337</c:v>
                </c:pt>
                <c:pt idx="6">
                  <c:v>0.83333333333333337</c:v>
                </c:pt>
                <c:pt idx="7">
                  <c:v>0.8666666666666667</c:v>
                </c:pt>
                <c:pt idx="8">
                  <c:v>0.90833333333333333</c:v>
                </c:pt>
                <c:pt idx="9">
                  <c:v>0.53333333333333333</c:v>
                </c:pt>
                <c:pt idx="10">
                  <c:v>0.81666666666666676</c:v>
                </c:pt>
                <c:pt idx="11">
                  <c:v>0.54999999999999993</c:v>
                </c:pt>
                <c:pt idx="12">
                  <c:v>0.63333333333333341</c:v>
                </c:pt>
                <c:pt idx="13">
                  <c:v>0.46666666666666662</c:v>
                </c:pt>
                <c:pt idx="14">
                  <c:v>0.45</c:v>
                </c:pt>
                <c:pt idx="15">
                  <c:v>0.50833333333333341</c:v>
                </c:pt>
                <c:pt idx="16">
                  <c:v>0.54166666666666663</c:v>
                </c:pt>
                <c:pt idx="17">
                  <c:v>0.66666666666666663</c:v>
                </c:pt>
                <c:pt idx="18">
                  <c:v>0.45</c:v>
                </c:pt>
                <c:pt idx="19">
                  <c:v>0.41666666666666669</c:v>
                </c:pt>
                <c:pt idx="20">
                  <c:v>0.70000000000000007</c:v>
                </c:pt>
                <c:pt idx="21">
                  <c:v>0.64166666666666672</c:v>
                </c:pt>
                <c:pt idx="22">
                  <c:v>0.45833333333333331</c:v>
                </c:pt>
                <c:pt idx="23">
                  <c:v>0.46666666666666673</c:v>
                </c:pt>
                <c:pt idx="24">
                  <c:v>0.44999999999999996</c:v>
                </c:pt>
                <c:pt idx="25">
                  <c:v>0.57499999999999996</c:v>
                </c:pt>
                <c:pt idx="26">
                  <c:v>0.5</c:v>
                </c:pt>
                <c:pt idx="27">
                  <c:v>0.38333333333333336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7A-4EC0-90EC-C61CE5418B38}"/>
            </c:ext>
          </c:extLst>
        </c:ser>
        <c:ser>
          <c:idx val="2"/>
          <c:order val="3"/>
          <c:tx>
            <c:v>LRC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'coal blend feb 26'!$H$4:$H$33</c:f>
              <c:numCache>
                <c:formatCode>_-* #,##0_-;\-* #,##0_-;_-* "-"_-;_-@_-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7A-4EC0-90EC-C61CE5418B38}"/>
            </c:ext>
          </c:extLst>
        </c:ser>
        <c:ser>
          <c:idx val="5"/>
          <c:order val="4"/>
          <c:tx>
            <c:v>LRC%</c:v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0" rIns="38100" bIns="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'coal blend feb 26'!$F$4:$F$33</c:f>
              <c:numCache>
                <c:formatCode>0%</c:formatCode>
                <c:ptCount val="30"/>
                <c:pt idx="0">
                  <c:v>0.77500000000000002</c:v>
                </c:pt>
                <c:pt idx="1">
                  <c:v>0.51666666666666661</c:v>
                </c:pt>
                <c:pt idx="2">
                  <c:v>0.28333333333333321</c:v>
                </c:pt>
                <c:pt idx="3">
                  <c:v>4.166666666666663E-2</c:v>
                </c:pt>
                <c:pt idx="4">
                  <c:v>0.75</c:v>
                </c:pt>
                <c:pt idx="5">
                  <c:v>0.41666666666666663</c:v>
                </c:pt>
                <c:pt idx="6">
                  <c:v>0.16666666666666663</c:v>
                </c:pt>
                <c:pt idx="7">
                  <c:v>0.1333333333333333</c:v>
                </c:pt>
                <c:pt idx="8">
                  <c:v>9.1666666666666674E-2</c:v>
                </c:pt>
                <c:pt idx="9">
                  <c:v>0.46666666666666667</c:v>
                </c:pt>
                <c:pt idx="10">
                  <c:v>0.18333333333333324</c:v>
                </c:pt>
                <c:pt idx="11">
                  <c:v>0.45000000000000007</c:v>
                </c:pt>
                <c:pt idx="12">
                  <c:v>0.36666666666666659</c:v>
                </c:pt>
                <c:pt idx="13">
                  <c:v>0.53333333333333344</c:v>
                </c:pt>
                <c:pt idx="14">
                  <c:v>0.55000000000000004</c:v>
                </c:pt>
                <c:pt idx="15">
                  <c:v>0.49166666666666659</c:v>
                </c:pt>
                <c:pt idx="16">
                  <c:v>0.45833333333333337</c:v>
                </c:pt>
                <c:pt idx="17">
                  <c:v>0.33333333333333337</c:v>
                </c:pt>
                <c:pt idx="18">
                  <c:v>0.55000000000000004</c:v>
                </c:pt>
                <c:pt idx="19">
                  <c:v>0.58333333333333326</c:v>
                </c:pt>
                <c:pt idx="20">
                  <c:v>0.29999999999999993</c:v>
                </c:pt>
                <c:pt idx="21">
                  <c:v>0.35833333333333328</c:v>
                </c:pt>
                <c:pt idx="22">
                  <c:v>0.54166666666666674</c:v>
                </c:pt>
                <c:pt idx="23">
                  <c:v>0.53333333333333321</c:v>
                </c:pt>
                <c:pt idx="24">
                  <c:v>0.55000000000000004</c:v>
                </c:pt>
                <c:pt idx="25">
                  <c:v>0.42500000000000004</c:v>
                </c:pt>
                <c:pt idx="26">
                  <c:v>0.5</c:v>
                </c:pt>
                <c:pt idx="27">
                  <c:v>0.6166666666666667</c:v>
                </c:pt>
                <c:pt idx="28">
                  <c:v>1</c:v>
                </c:pt>
                <c:pt idx="2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F7A-4EC0-90EC-C61CE5418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98303456"/>
        <c:axId val="524749024"/>
      </c:barChart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0" tIns="0" rIns="0" bIns="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'coal blend feb 26'!$D$4:$D$33</c:f>
              <c:numCache>
                <c:formatCode>_-* #,##0_-;\-* #,##0_-;_-* "-"_-;_-@_-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F7A-4EC0-90EC-C61CE5418B38}"/>
            </c:ext>
          </c:extLst>
        </c:ser>
        <c:ser>
          <c:idx val="3"/>
          <c:order val="5"/>
          <c:tx>
            <c:v>DATE</c:v>
          </c:tx>
          <c:spPr>
            <a:ln w="34925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'coal blend feb 26'!$B$4:$B$33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F7A-4EC0-90EC-C61CE5418B3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76185576"/>
        <c:axId val="576186560"/>
      </c:lineChart>
      <c:valAx>
        <c:axId val="576186560"/>
        <c:scaling>
          <c:orientation val="minMax"/>
          <c:max val="5200"/>
          <c:min val="0"/>
        </c:scaling>
        <c:delete val="0"/>
        <c:axPos val="r"/>
        <c:numFmt formatCode="_-* #,##0_-;\-* #,##0_-;_-* &quot;-&quot;_-;_-@_-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185576"/>
        <c:crosses val="max"/>
        <c:crossBetween val="between"/>
      </c:valAx>
      <c:catAx>
        <c:axId val="576185576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TANGGAL</a:t>
                </a:r>
              </a:p>
            </c:rich>
          </c:tx>
          <c:layout>
            <c:manualLayout>
              <c:xMode val="edge"/>
              <c:yMode val="edge"/>
              <c:x val="0.47345888888888887"/>
              <c:y val="0.97078151986183059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crossAx val="576186560"/>
        <c:crosses val="autoZero"/>
        <c:auto val="1"/>
        <c:lblAlgn val="ctr"/>
        <c:lblOffset val="100"/>
        <c:noMultiLvlLbl val="0"/>
      </c:catAx>
      <c:valAx>
        <c:axId val="524749024"/>
        <c:scaling>
          <c:orientation val="minMax"/>
          <c:max val="52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Tonase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_-* #,##0_-;\-* #,##0_-;_-* &quot;-&quot;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303456"/>
        <c:crosses val="autoZero"/>
        <c:crossBetween val="between"/>
      </c:valAx>
      <c:catAx>
        <c:axId val="598303456"/>
        <c:scaling>
          <c:orientation val="minMax"/>
        </c:scaling>
        <c:delete val="1"/>
        <c:axPos val="b"/>
        <c:majorTickMark val="out"/>
        <c:minorTickMark val="none"/>
        <c:tickLblPos val="nextTo"/>
        <c:crossAx val="5247490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egendEntry>
        <c:idx val="1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D" sz="1400"/>
              <a:t>Blending</a:t>
            </a:r>
            <a:r>
              <a:rPr lang="en-ID" sz="1400" baseline="0"/>
              <a:t> Pengisian Unit 1</a:t>
            </a:r>
            <a:endParaRPr lang="en-ID" sz="140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9866759259259253E-2"/>
          <c:y val="0.14935182418386986"/>
          <c:w val="0.91016009259259256"/>
          <c:h val="0.78852824203189165"/>
        </c:manualLayout>
      </c:layout>
      <c:barChart>
        <c:barDir val="col"/>
        <c:grouping val="stacked"/>
        <c:varyColors val="0"/>
        <c:ser>
          <c:idx val="1"/>
          <c:order val="1"/>
          <c:tx>
            <c:v>MRC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'coal blend mar 26'!$G$4:$G$33</c:f>
              <c:numCache>
                <c:formatCode>_-* #,##0_-;\-* #,##0_-;_-* "-"_-;_-@_-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41-4466-BFD4-1CDDC14353F6}"/>
            </c:ext>
          </c:extLst>
        </c:ser>
        <c:ser>
          <c:idx val="4"/>
          <c:order val="2"/>
          <c:tx>
            <c:v>MRC%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432000" rIns="39600" bIns="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'coal blend mar 26'!$E$4:$E$33</c:f>
              <c:numCache>
                <c:formatCode>0%</c:formatCode>
                <c:ptCount val="30"/>
                <c:pt idx="0">
                  <c:v>0.48333333333333339</c:v>
                </c:pt>
                <c:pt idx="1">
                  <c:v>0.47499999999999992</c:v>
                </c:pt>
                <c:pt idx="2">
                  <c:v>0.5083333333333333</c:v>
                </c:pt>
                <c:pt idx="3">
                  <c:v>0.55833333333333324</c:v>
                </c:pt>
                <c:pt idx="4">
                  <c:v>0.65833333333333333</c:v>
                </c:pt>
                <c:pt idx="5">
                  <c:v>0.59166666666666667</c:v>
                </c:pt>
                <c:pt idx="6">
                  <c:v>0.60833333333333328</c:v>
                </c:pt>
                <c:pt idx="7">
                  <c:v>0.41666666666666669</c:v>
                </c:pt>
                <c:pt idx="8">
                  <c:v>0.39999999999999997</c:v>
                </c:pt>
                <c:pt idx="9">
                  <c:v>0.41666666666666669</c:v>
                </c:pt>
                <c:pt idx="10">
                  <c:v>0.42499999999999999</c:v>
                </c:pt>
                <c:pt idx="11">
                  <c:v>0.43333333333333335</c:v>
                </c:pt>
                <c:pt idx="12">
                  <c:v>0.61666666666666659</c:v>
                </c:pt>
                <c:pt idx="13">
                  <c:v>0.51666666666666672</c:v>
                </c:pt>
                <c:pt idx="14">
                  <c:v>0.52500000000000002</c:v>
                </c:pt>
                <c:pt idx="15">
                  <c:v>0.4916666666666667</c:v>
                </c:pt>
                <c:pt idx="16">
                  <c:v>0.53333333333333333</c:v>
                </c:pt>
                <c:pt idx="17">
                  <c:v>0.3666666666666667</c:v>
                </c:pt>
                <c:pt idx="18">
                  <c:v>0.28333333333333338</c:v>
                </c:pt>
                <c:pt idx="19">
                  <c:v>0.56666666666666676</c:v>
                </c:pt>
                <c:pt idx="20">
                  <c:v>0.6</c:v>
                </c:pt>
                <c:pt idx="21">
                  <c:v>0.46666666666666673</c:v>
                </c:pt>
                <c:pt idx="22">
                  <c:v>0.26666666666666666</c:v>
                </c:pt>
                <c:pt idx="23">
                  <c:v>0.40833333333333338</c:v>
                </c:pt>
                <c:pt idx="24">
                  <c:v>0.48333333333333339</c:v>
                </c:pt>
                <c:pt idx="25">
                  <c:v>0.35000000000000003</c:v>
                </c:pt>
                <c:pt idx="26">
                  <c:v>0.6</c:v>
                </c:pt>
                <c:pt idx="27">
                  <c:v>0.5</c:v>
                </c:pt>
                <c:pt idx="28">
                  <c:v>0.28333333333333338</c:v>
                </c:pt>
                <c:pt idx="29">
                  <c:v>0.3833333333333333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41-4466-BFD4-1CDDC14353F6}"/>
            </c:ext>
          </c:extLst>
        </c:ser>
        <c:ser>
          <c:idx val="2"/>
          <c:order val="3"/>
          <c:tx>
            <c:v>LRC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'coal blend mar 26'!$H$4:$H$33</c:f>
              <c:numCache>
                <c:formatCode>_-* #,##0_-;\-* #,##0_-;_-* "-"_-;_-@_-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41-4466-BFD4-1CDDC14353F6}"/>
            </c:ext>
          </c:extLst>
        </c:ser>
        <c:ser>
          <c:idx val="5"/>
          <c:order val="4"/>
          <c:tx>
            <c:v>LRC%</c:v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0" rIns="38100" bIns="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'coal blend mar 26'!$F$4:$F$33</c:f>
              <c:numCache>
                <c:formatCode>0%</c:formatCode>
                <c:ptCount val="30"/>
                <c:pt idx="0">
                  <c:v>0.51666666666666661</c:v>
                </c:pt>
                <c:pt idx="1">
                  <c:v>0.52500000000000013</c:v>
                </c:pt>
                <c:pt idx="2">
                  <c:v>0.4916666666666667</c:v>
                </c:pt>
                <c:pt idx="3">
                  <c:v>0.44166666666666676</c:v>
                </c:pt>
                <c:pt idx="4">
                  <c:v>0.34166666666666667</c:v>
                </c:pt>
                <c:pt idx="5">
                  <c:v>0.40833333333333333</c:v>
                </c:pt>
                <c:pt idx="6">
                  <c:v>0.39166666666666672</c:v>
                </c:pt>
                <c:pt idx="7">
                  <c:v>0.58333333333333326</c:v>
                </c:pt>
                <c:pt idx="8">
                  <c:v>0.60000000000000009</c:v>
                </c:pt>
                <c:pt idx="9">
                  <c:v>0.58333333333333326</c:v>
                </c:pt>
                <c:pt idx="10">
                  <c:v>0.57499999999999996</c:v>
                </c:pt>
                <c:pt idx="11">
                  <c:v>0.56666666666666665</c:v>
                </c:pt>
                <c:pt idx="12">
                  <c:v>0.38333333333333341</c:v>
                </c:pt>
                <c:pt idx="13">
                  <c:v>0.48333333333333328</c:v>
                </c:pt>
                <c:pt idx="14">
                  <c:v>0.47499999999999998</c:v>
                </c:pt>
                <c:pt idx="15">
                  <c:v>0.5083333333333333</c:v>
                </c:pt>
                <c:pt idx="16">
                  <c:v>0.46666666666666667</c:v>
                </c:pt>
                <c:pt idx="17">
                  <c:v>0.6333333333333333</c:v>
                </c:pt>
                <c:pt idx="18">
                  <c:v>0.71666666666666656</c:v>
                </c:pt>
                <c:pt idx="19">
                  <c:v>0.43333333333333324</c:v>
                </c:pt>
                <c:pt idx="20">
                  <c:v>0.4</c:v>
                </c:pt>
                <c:pt idx="21">
                  <c:v>0.53333333333333321</c:v>
                </c:pt>
                <c:pt idx="22">
                  <c:v>0.73333333333333339</c:v>
                </c:pt>
                <c:pt idx="23">
                  <c:v>0.59166666666666656</c:v>
                </c:pt>
                <c:pt idx="24">
                  <c:v>0.51666666666666661</c:v>
                </c:pt>
                <c:pt idx="25">
                  <c:v>0.64999999999999991</c:v>
                </c:pt>
                <c:pt idx="26">
                  <c:v>0.4</c:v>
                </c:pt>
                <c:pt idx="27">
                  <c:v>0.5</c:v>
                </c:pt>
                <c:pt idx="28">
                  <c:v>0.71666666666666656</c:v>
                </c:pt>
                <c:pt idx="29">
                  <c:v>0.6166666666666667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741-4466-BFD4-1CDDC14353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98303456"/>
        <c:axId val="524749024"/>
      </c:barChart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0" tIns="0" rIns="0" bIns="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'coal blend mar 26'!$D$4:$D$33</c:f>
              <c:numCache>
                <c:formatCode>_-* #,##0_-;\-* #,##0_-;_-* "-"_-;_-@_-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41-4466-BFD4-1CDDC14353F6}"/>
            </c:ext>
          </c:extLst>
        </c:ser>
        <c:ser>
          <c:idx val="3"/>
          <c:order val="5"/>
          <c:tx>
            <c:v>DATE</c:v>
          </c:tx>
          <c:spPr>
            <a:ln w="34925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'coal blend mar 26'!$B$4:$B$33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41-4466-BFD4-1CDDC14353F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76185576"/>
        <c:axId val="576186560"/>
      </c:lineChart>
      <c:valAx>
        <c:axId val="576186560"/>
        <c:scaling>
          <c:orientation val="minMax"/>
          <c:max val="5200"/>
          <c:min val="0"/>
        </c:scaling>
        <c:delete val="0"/>
        <c:axPos val="r"/>
        <c:numFmt formatCode="_-* #,##0_-;\-* #,##0_-;_-* &quot;-&quot;_-;_-@_-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185576"/>
        <c:crosses val="max"/>
        <c:crossBetween val="between"/>
      </c:valAx>
      <c:catAx>
        <c:axId val="576185576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TANGGAL</a:t>
                </a:r>
              </a:p>
            </c:rich>
          </c:tx>
          <c:layout>
            <c:manualLayout>
              <c:xMode val="edge"/>
              <c:yMode val="edge"/>
              <c:x val="0.47345888888888887"/>
              <c:y val="0.97078151986183059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crossAx val="576186560"/>
        <c:crosses val="autoZero"/>
        <c:auto val="1"/>
        <c:lblAlgn val="ctr"/>
        <c:lblOffset val="100"/>
        <c:noMultiLvlLbl val="0"/>
      </c:catAx>
      <c:valAx>
        <c:axId val="524749024"/>
        <c:scaling>
          <c:orientation val="minMax"/>
          <c:max val="52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Tonase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_-* #,##0_-;\-* #,##0_-;_-* &quot;-&quot;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303456"/>
        <c:crosses val="autoZero"/>
        <c:crossBetween val="between"/>
      </c:valAx>
      <c:catAx>
        <c:axId val="598303456"/>
        <c:scaling>
          <c:orientation val="minMax"/>
        </c:scaling>
        <c:delete val="1"/>
        <c:axPos val="b"/>
        <c:majorTickMark val="out"/>
        <c:minorTickMark val="none"/>
        <c:tickLblPos val="nextTo"/>
        <c:crossAx val="5247490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egendEntry>
        <c:idx val="1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D" sz="1400"/>
              <a:t>Blending</a:t>
            </a:r>
            <a:r>
              <a:rPr lang="en-ID" sz="1400" baseline="0"/>
              <a:t> Pengisian Unit 1</a:t>
            </a:r>
            <a:endParaRPr lang="en-ID" sz="140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9866759259259253E-2"/>
          <c:y val="0.14935182418386986"/>
          <c:w val="0.91016009259259256"/>
          <c:h val="0.78852824203189165"/>
        </c:manualLayout>
      </c:layout>
      <c:barChart>
        <c:barDir val="col"/>
        <c:grouping val="stacked"/>
        <c:varyColors val="0"/>
        <c:ser>
          <c:idx val="1"/>
          <c:order val="1"/>
          <c:tx>
            <c:v>MRC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'coal blend april 26'!$G$4:$G$33</c:f>
              <c:numCache>
                <c:formatCode>_-* #,##0_-;\-* #,##0_-;_-* "-"_-;_-@_-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12-4A39-A9DF-E63A7A1D8D6C}"/>
            </c:ext>
          </c:extLst>
        </c:ser>
        <c:ser>
          <c:idx val="4"/>
          <c:order val="2"/>
          <c:tx>
            <c:v>MRC%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432000" rIns="39600" bIns="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'coal blend april 26'!$E$4:$E$33</c:f>
              <c:numCache>
                <c:formatCode>0%</c:formatCode>
                <c:ptCount val="30"/>
                <c:pt idx="0">
                  <c:v>0.39166666666666666</c:v>
                </c:pt>
                <c:pt idx="1">
                  <c:v>0.65</c:v>
                </c:pt>
                <c:pt idx="2">
                  <c:v>0.56666666666666654</c:v>
                </c:pt>
                <c:pt idx="3">
                  <c:v>0.56666666666666665</c:v>
                </c:pt>
                <c:pt idx="4">
                  <c:v>0.43333333333333335</c:v>
                </c:pt>
                <c:pt idx="5">
                  <c:v>0.33333333333333331</c:v>
                </c:pt>
                <c:pt idx="6">
                  <c:v>0.26666666666666666</c:v>
                </c:pt>
                <c:pt idx="7">
                  <c:v>0.5</c:v>
                </c:pt>
                <c:pt idx="8">
                  <c:v>0.44166666666666671</c:v>
                </c:pt>
                <c:pt idx="9">
                  <c:v>0.3666666666666667</c:v>
                </c:pt>
                <c:pt idx="10">
                  <c:v>0.45</c:v>
                </c:pt>
                <c:pt idx="11">
                  <c:v>0.39999999999999997</c:v>
                </c:pt>
                <c:pt idx="12">
                  <c:v>0.28333333333333333</c:v>
                </c:pt>
                <c:pt idx="13">
                  <c:v>0.5</c:v>
                </c:pt>
                <c:pt idx="14">
                  <c:v>0.44166666666666665</c:v>
                </c:pt>
                <c:pt idx="15">
                  <c:v>0.42499999999999999</c:v>
                </c:pt>
                <c:pt idx="16">
                  <c:v>0.32500000000000001</c:v>
                </c:pt>
                <c:pt idx="17">
                  <c:v>0.53333333333333333</c:v>
                </c:pt>
                <c:pt idx="18">
                  <c:v>0.43333333333333335</c:v>
                </c:pt>
                <c:pt idx="19">
                  <c:v>0.44166666666666665</c:v>
                </c:pt>
                <c:pt idx="20">
                  <c:v>0.54999999999999993</c:v>
                </c:pt>
                <c:pt idx="21">
                  <c:v>0.65833333333333333</c:v>
                </c:pt>
                <c:pt idx="22">
                  <c:v>0.54999999999999993</c:v>
                </c:pt>
                <c:pt idx="23">
                  <c:v>0.44166666666666671</c:v>
                </c:pt>
                <c:pt idx="24">
                  <c:v>0.3833333333333333</c:v>
                </c:pt>
                <c:pt idx="25">
                  <c:v>0.42499999999999999</c:v>
                </c:pt>
                <c:pt idx="26">
                  <c:v>0.54999999999999993</c:v>
                </c:pt>
                <c:pt idx="27">
                  <c:v>0.57500000000000007</c:v>
                </c:pt>
                <c:pt idx="28">
                  <c:v>0.25</c:v>
                </c:pt>
                <c:pt idx="29">
                  <c:v>0.29166666666666669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12-4A39-A9DF-E63A7A1D8D6C}"/>
            </c:ext>
          </c:extLst>
        </c:ser>
        <c:ser>
          <c:idx val="2"/>
          <c:order val="3"/>
          <c:tx>
            <c:v>LRC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'coal blend april 26'!$H$4:$H$33</c:f>
              <c:numCache>
                <c:formatCode>_-* #,##0_-;\-* #,##0_-;_-* "-"_-;_-@_-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12-4A39-A9DF-E63A7A1D8D6C}"/>
            </c:ext>
          </c:extLst>
        </c:ser>
        <c:ser>
          <c:idx val="5"/>
          <c:order val="4"/>
          <c:tx>
            <c:v>LRC%</c:v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0" rIns="38100" bIns="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'coal blend april 26'!$F$4:$F$33</c:f>
              <c:numCache>
                <c:formatCode>0%</c:formatCode>
                <c:ptCount val="30"/>
                <c:pt idx="0">
                  <c:v>0.60833333333333339</c:v>
                </c:pt>
                <c:pt idx="1">
                  <c:v>0.35</c:v>
                </c:pt>
                <c:pt idx="2">
                  <c:v>0.43333333333333346</c:v>
                </c:pt>
                <c:pt idx="3">
                  <c:v>0.43333333333333335</c:v>
                </c:pt>
                <c:pt idx="4">
                  <c:v>0.56666666666666665</c:v>
                </c:pt>
                <c:pt idx="5">
                  <c:v>0.66666666666666674</c:v>
                </c:pt>
                <c:pt idx="6">
                  <c:v>0.73333333333333339</c:v>
                </c:pt>
                <c:pt idx="7">
                  <c:v>0.5</c:v>
                </c:pt>
                <c:pt idx="8">
                  <c:v>0.55833333333333335</c:v>
                </c:pt>
                <c:pt idx="9">
                  <c:v>0.6333333333333333</c:v>
                </c:pt>
                <c:pt idx="10">
                  <c:v>0.55000000000000004</c:v>
                </c:pt>
                <c:pt idx="11">
                  <c:v>0.60000000000000009</c:v>
                </c:pt>
                <c:pt idx="12">
                  <c:v>0.71666666666666667</c:v>
                </c:pt>
                <c:pt idx="13">
                  <c:v>0.5</c:v>
                </c:pt>
                <c:pt idx="14">
                  <c:v>0.55833333333333335</c:v>
                </c:pt>
                <c:pt idx="15">
                  <c:v>0.57499999999999996</c:v>
                </c:pt>
                <c:pt idx="16">
                  <c:v>0.67500000000000004</c:v>
                </c:pt>
                <c:pt idx="17">
                  <c:v>0.46666666666666667</c:v>
                </c:pt>
                <c:pt idx="18">
                  <c:v>0.56666666666666665</c:v>
                </c:pt>
                <c:pt idx="19">
                  <c:v>0.55833333333333335</c:v>
                </c:pt>
                <c:pt idx="20">
                  <c:v>0.45000000000000007</c:v>
                </c:pt>
                <c:pt idx="21">
                  <c:v>0.34166666666666667</c:v>
                </c:pt>
                <c:pt idx="22">
                  <c:v>0.45000000000000007</c:v>
                </c:pt>
                <c:pt idx="23">
                  <c:v>0.55833333333333335</c:v>
                </c:pt>
                <c:pt idx="24">
                  <c:v>0.6166666666666667</c:v>
                </c:pt>
                <c:pt idx="25">
                  <c:v>0.57499999999999996</c:v>
                </c:pt>
                <c:pt idx="26">
                  <c:v>0.45000000000000007</c:v>
                </c:pt>
                <c:pt idx="27">
                  <c:v>0.42499999999999993</c:v>
                </c:pt>
                <c:pt idx="28">
                  <c:v>0.75</c:v>
                </c:pt>
                <c:pt idx="29">
                  <c:v>0.70833333333333326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A12-4A39-A9DF-E63A7A1D8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98303456"/>
        <c:axId val="524749024"/>
      </c:barChart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0" tIns="0" rIns="0" bIns="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'coal blend april 26'!$D$4:$D$33</c:f>
              <c:numCache>
                <c:formatCode>_-* #,##0_-;\-* #,##0_-;_-* "-"_-;_-@_-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A12-4A39-A9DF-E63A7A1D8D6C}"/>
            </c:ext>
          </c:extLst>
        </c:ser>
        <c:ser>
          <c:idx val="3"/>
          <c:order val="5"/>
          <c:tx>
            <c:v>DATE</c:v>
          </c:tx>
          <c:spPr>
            <a:ln w="34925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'coal blend april 26'!$B$4:$B$33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A12-4A39-A9DF-E63A7A1D8D6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76185576"/>
        <c:axId val="576186560"/>
      </c:lineChart>
      <c:valAx>
        <c:axId val="576186560"/>
        <c:scaling>
          <c:orientation val="minMax"/>
          <c:max val="5200"/>
          <c:min val="0"/>
        </c:scaling>
        <c:delete val="0"/>
        <c:axPos val="r"/>
        <c:numFmt formatCode="_-* #,##0_-;\-* #,##0_-;_-* &quot;-&quot;_-;_-@_-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185576"/>
        <c:crosses val="max"/>
        <c:crossBetween val="between"/>
      </c:valAx>
      <c:catAx>
        <c:axId val="576185576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TANGGAL</a:t>
                </a:r>
              </a:p>
            </c:rich>
          </c:tx>
          <c:layout>
            <c:manualLayout>
              <c:xMode val="edge"/>
              <c:yMode val="edge"/>
              <c:x val="0.47345888888888887"/>
              <c:y val="0.97078151986183059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crossAx val="576186560"/>
        <c:crosses val="autoZero"/>
        <c:auto val="1"/>
        <c:lblAlgn val="ctr"/>
        <c:lblOffset val="100"/>
        <c:noMultiLvlLbl val="0"/>
      </c:catAx>
      <c:valAx>
        <c:axId val="524749024"/>
        <c:scaling>
          <c:orientation val="minMax"/>
          <c:max val="52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Tonase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_-* #,##0_-;\-* #,##0_-;_-* &quot;-&quot;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303456"/>
        <c:crosses val="autoZero"/>
        <c:crossBetween val="between"/>
      </c:valAx>
      <c:catAx>
        <c:axId val="598303456"/>
        <c:scaling>
          <c:orientation val="minMax"/>
        </c:scaling>
        <c:delete val="1"/>
        <c:axPos val="b"/>
        <c:majorTickMark val="out"/>
        <c:minorTickMark val="none"/>
        <c:tickLblPos val="nextTo"/>
        <c:crossAx val="5247490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egendEntry>
        <c:idx val="1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D" sz="1400"/>
              <a:t>Blending</a:t>
            </a:r>
            <a:r>
              <a:rPr lang="en-ID" sz="1400" baseline="0"/>
              <a:t> Pengisian Unit 1</a:t>
            </a:r>
            <a:endParaRPr lang="en-ID" sz="140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9866759259259253E-2"/>
          <c:y val="0.14935182418386986"/>
          <c:w val="0.91016009259259256"/>
          <c:h val="0.78852824203189165"/>
        </c:manualLayout>
      </c:layout>
      <c:barChart>
        <c:barDir val="col"/>
        <c:grouping val="stacked"/>
        <c:varyColors val="0"/>
        <c:ser>
          <c:idx val="1"/>
          <c:order val="1"/>
          <c:tx>
            <c:v>MRC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'coal blend mei 26'!$G$4:$G$33</c:f>
              <c:numCache>
                <c:formatCode>_-* #,##0_-;\-* #,##0_-;_-* "-"_-;_-@_-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2F-4AAD-8CCB-F3795CDC9736}"/>
            </c:ext>
          </c:extLst>
        </c:ser>
        <c:ser>
          <c:idx val="4"/>
          <c:order val="2"/>
          <c:tx>
            <c:v>MRC%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432000" rIns="39600" bIns="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'coal blend mei 26'!$E$4:$E$33</c:f>
              <c:numCache>
                <c:formatCode>0%</c:formatCode>
                <c:ptCount val="30"/>
                <c:pt idx="0">
                  <c:v>0.42499999999999999</c:v>
                </c:pt>
                <c:pt idx="1">
                  <c:v>0.41666666666666669</c:v>
                </c:pt>
                <c:pt idx="2">
                  <c:v>0.5083333333333333</c:v>
                </c:pt>
                <c:pt idx="3">
                  <c:v>0.80833333333333324</c:v>
                </c:pt>
                <c:pt idx="4">
                  <c:v>0.93333333333333324</c:v>
                </c:pt>
                <c:pt idx="5">
                  <c:v>0.5</c:v>
                </c:pt>
                <c:pt idx="6">
                  <c:v>0</c:v>
                </c:pt>
                <c:pt idx="7">
                  <c:v>0.11666666666666665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2F-4AAD-8CCB-F3795CDC9736}"/>
            </c:ext>
          </c:extLst>
        </c:ser>
        <c:ser>
          <c:idx val="2"/>
          <c:order val="3"/>
          <c:tx>
            <c:v>LRC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'coal blend mei 26'!$H$4:$H$33</c:f>
              <c:numCache>
                <c:formatCode>_-* #,##0_-;\-* #,##0_-;_-* "-"_-;_-@_-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2F-4AAD-8CCB-F3795CDC9736}"/>
            </c:ext>
          </c:extLst>
        </c:ser>
        <c:ser>
          <c:idx val="5"/>
          <c:order val="4"/>
          <c:tx>
            <c:v>LRC%</c:v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0" rIns="38100" bIns="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'coal blend mei 26'!$F$4:$F$33</c:f>
              <c:numCache>
                <c:formatCode>0%</c:formatCode>
                <c:ptCount val="30"/>
                <c:pt idx="0">
                  <c:v>0.57499999999999996</c:v>
                </c:pt>
                <c:pt idx="1">
                  <c:v>0.58333333333333326</c:v>
                </c:pt>
                <c:pt idx="2">
                  <c:v>0.4916666666666667</c:v>
                </c:pt>
                <c:pt idx="3">
                  <c:v>0.19166666666666676</c:v>
                </c:pt>
                <c:pt idx="4">
                  <c:v>6.6666666666666763E-2</c:v>
                </c:pt>
                <c:pt idx="5">
                  <c:v>0.5</c:v>
                </c:pt>
                <c:pt idx="6">
                  <c:v>1</c:v>
                </c:pt>
                <c:pt idx="7">
                  <c:v>0.8833333333333333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A2F-4AAD-8CCB-F3795CDC9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98303456"/>
        <c:axId val="524749024"/>
      </c:barChart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0" tIns="0" rIns="0" bIns="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'coal blend mei 26'!$D$4:$D$33</c:f>
              <c:numCache>
                <c:formatCode>_-* #,##0_-;\-* #,##0_-;_-* "-"_-;_-@_-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A2F-4AAD-8CCB-F3795CDC9736}"/>
            </c:ext>
          </c:extLst>
        </c:ser>
        <c:ser>
          <c:idx val="3"/>
          <c:order val="5"/>
          <c:tx>
            <c:v>DATE</c:v>
          </c:tx>
          <c:spPr>
            <a:ln w="34925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'coal blend mei 26'!$B$4:$B$33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A2F-4AAD-8CCB-F3795CDC973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76185576"/>
        <c:axId val="576186560"/>
      </c:lineChart>
      <c:valAx>
        <c:axId val="576186560"/>
        <c:scaling>
          <c:orientation val="minMax"/>
          <c:max val="5200"/>
          <c:min val="0"/>
        </c:scaling>
        <c:delete val="0"/>
        <c:axPos val="r"/>
        <c:numFmt formatCode="_-* #,##0_-;\-* #,##0_-;_-* &quot;-&quot;_-;_-@_-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185576"/>
        <c:crosses val="max"/>
        <c:crossBetween val="between"/>
      </c:valAx>
      <c:catAx>
        <c:axId val="576185576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TANGGAL</a:t>
                </a:r>
              </a:p>
            </c:rich>
          </c:tx>
          <c:layout>
            <c:manualLayout>
              <c:xMode val="edge"/>
              <c:yMode val="edge"/>
              <c:x val="0.47345888888888887"/>
              <c:y val="0.97078151986183059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crossAx val="576186560"/>
        <c:crosses val="autoZero"/>
        <c:auto val="1"/>
        <c:lblAlgn val="ctr"/>
        <c:lblOffset val="100"/>
        <c:noMultiLvlLbl val="0"/>
      </c:catAx>
      <c:valAx>
        <c:axId val="524749024"/>
        <c:scaling>
          <c:orientation val="minMax"/>
          <c:max val="52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Tonase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_-* #,##0_-;\-* #,##0_-;_-* &quot;-&quot;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303456"/>
        <c:crosses val="autoZero"/>
        <c:crossBetween val="between"/>
      </c:valAx>
      <c:catAx>
        <c:axId val="598303456"/>
        <c:scaling>
          <c:orientation val="minMax"/>
        </c:scaling>
        <c:delete val="1"/>
        <c:axPos val="b"/>
        <c:majorTickMark val="out"/>
        <c:minorTickMark val="none"/>
        <c:tickLblPos val="nextTo"/>
        <c:crossAx val="5247490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egendEntry>
        <c:idx val="1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D" sz="1400"/>
              <a:t>Blending</a:t>
            </a:r>
            <a:r>
              <a:rPr lang="en-ID" sz="1400" baseline="0"/>
              <a:t> Pengisian Unit 1</a:t>
            </a:r>
            <a:endParaRPr lang="en-ID" sz="140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9866759259259253E-2"/>
          <c:y val="0.14935182418386986"/>
          <c:w val="0.91016009259259256"/>
          <c:h val="0.78852824203189165"/>
        </c:manualLayout>
      </c:layout>
      <c:barChart>
        <c:barDir val="col"/>
        <c:grouping val="stacked"/>
        <c:varyColors val="0"/>
        <c:ser>
          <c:idx val="1"/>
          <c:order val="1"/>
          <c:tx>
            <c:v>MRC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'coal blend juni 26'!$G$4:$G$33</c:f>
              <c:numCache>
                <c:formatCode>_-* #,##0_-;\-* #,##0_-;_-* "-"_-;_-@_-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FD-4F92-AE9B-0A42A466D858}"/>
            </c:ext>
          </c:extLst>
        </c:ser>
        <c:ser>
          <c:idx val="4"/>
          <c:order val="2"/>
          <c:tx>
            <c:v>MRC%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432000" rIns="39600" bIns="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'coal blend juni 26'!$E$4:$E$33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0.6</c:v>
                </c:pt>
                <c:pt idx="15">
                  <c:v>0.51666666666666672</c:v>
                </c:pt>
                <c:pt idx="16">
                  <c:v>0.27499999999999997</c:v>
                </c:pt>
                <c:pt idx="17">
                  <c:v>0.3666666666666667</c:v>
                </c:pt>
                <c:pt idx="18">
                  <c:v>0.47499999999999992</c:v>
                </c:pt>
                <c:pt idx="19">
                  <c:v>0.35000000000000003</c:v>
                </c:pt>
                <c:pt idx="20">
                  <c:v>0.33333333333333331</c:v>
                </c:pt>
                <c:pt idx="21">
                  <c:v>0.93333333333333324</c:v>
                </c:pt>
                <c:pt idx="22">
                  <c:v>0.56666666666666676</c:v>
                </c:pt>
                <c:pt idx="23">
                  <c:v>1</c:v>
                </c:pt>
                <c:pt idx="24">
                  <c:v>0.33333333333333331</c:v>
                </c:pt>
                <c:pt idx="25">
                  <c:v>0.28333333333333338</c:v>
                </c:pt>
                <c:pt idx="26">
                  <c:v>0</c:v>
                </c:pt>
                <c:pt idx="27">
                  <c:v>0</c:v>
                </c:pt>
                <c:pt idx="28">
                  <c:v>0.16666666666666666</c:v>
                </c:pt>
                <c:pt idx="29">
                  <c:v>0.51666666666666672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FD-4F92-AE9B-0A42A466D858}"/>
            </c:ext>
          </c:extLst>
        </c:ser>
        <c:ser>
          <c:idx val="2"/>
          <c:order val="3"/>
          <c:tx>
            <c:v>LRC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'coal blend juni 26'!$H$4:$H$33</c:f>
              <c:numCache>
                <c:formatCode>_-* #,##0_-;\-* #,##0_-;_-* "-"_-;_-@_-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FD-4F92-AE9B-0A42A466D858}"/>
            </c:ext>
          </c:extLst>
        </c:ser>
        <c:ser>
          <c:idx val="5"/>
          <c:order val="4"/>
          <c:tx>
            <c:v>LRC%</c:v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0" rIns="38100" bIns="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'coal blend juni 26'!$F$4:$F$33</c:f>
              <c:numCache>
                <c:formatCode>0%</c:formatCode>
                <c:ptCount val="3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0.4</c:v>
                </c:pt>
                <c:pt idx="15">
                  <c:v>0.48333333333333328</c:v>
                </c:pt>
                <c:pt idx="16">
                  <c:v>0.72500000000000009</c:v>
                </c:pt>
                <c:pt idx="17">
                  <c:v>0.6333333333333333</c:v>
                </c:pt>
                <c:pt idx="18">
                  <c:v>0.52500000000000013</c:v>
                </c:pt>
                <c:pt idx="19">
                  <c:v>0.64999999999999991</c:v>
                </c:pt>
                <c:pt idx="20">
                  <c:v>0.66666666666666674</c:v>
                </c:pt>
                <c:pt idx="21">
                  <c:v>6.6666666666666763E-2</c:v>
                </c:pt>
                <c:pt idx="22">
                  <c:v>0.43333333333333324</c:v>
                </c:pt>
                <c:pt idx="23">
                  <c:v>0</c:v>
                </c:pt>
                <c:pt idx="24">
                  <c:v>0.66666666666666674</c:v>
                </c:pt>
                <c:pt idx="25">
                  <c:v>0.71666666666666656</c:v>
                </c:pt>
                <c:pt idx="26">
                  <c:v>1</c:v>
                </c:pt>
                <c:pt idx="27">
                  <c:v>1</c:v>
                </c:pt>
                <c:pt idx="28">
                  <c:v>0.83333333333333337</c:v>
                </c:pt>
                <c:pt idx="29">
                  <c:v>0.48333333333333328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2FD-4F92-AE9B-0A42A466D8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98303456"/>
        <c:axId val="524749024"/>
      </c:barChart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0" tIns="0" rIns="0" bIns="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'coal blend juni 26'!$D$4:$D$33</c:f>
              <c:numCache>
                <c:formatCode>_-* #,##0_-;\-* #,##0_-;_-* "-"_-;_-@_-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2FD-4F92-AE9B-0A42A466D858}"/>
            </c:ext>
          </c:extLst>
        </c:ser>
        <c:ser>
          <c:idx val="3"/>
          <c:order val="5"/>
          <c:tx>
            <c:v>DATE</c:v>
          </c:tx>
          <c:spPr>
            <a:ln w="34925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'coal blend juni 26'!$B$4:$B$33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2FD-4F92-AE9B-0A42A466D85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76185576"/>
        <c:axId val="576186560"/>
      </c:lineChart>
      <c:valAx>
        <c:axId val="576186560"/>
        <c:scaling>
          <c:orientation val="minMax"/>
          <c:max val="5200"/>
          <c:min val="0"/>
        </c:scaling>
        <c:delete val="0"/>
        <c:axPos val="r"/>
        <c:numFmt formatCode="_-* #,##0_-;\-* #,##0_-;_-* &quot;-&quot;_-;_-@_-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185576"/>
        <c:crosses val="max"/>
        <c:crossBetween val="between"/>
      </c:valAx>
      <c:catAx>
        <c:axId val="576185576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TANGGAL</a:t>
                </a:r>
              </a:p>
            </c:rich>
          </c:tx>
          <c:layout>
            <c:manualLayout>
              <c:xMode val="edge"/>
              <c:yMode val="edge"/>
              <c:x val="0.47345888888888887"/>
              <c:y val="0.97078151986183059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crossAx val="576186560"/>
        <c:crosses val="autoZero"/>
        <c:auto val="1"/>
        <c:lblAlgn val="ctr"/>
        <c:lblOffset val="100"/>
        <c:noMultiLvlLbl val="0"/>
      </c:catAx>
      <c:valAx>
        <c:axId val="524749024"/>
        <c:scaling>
          <c:orientation val="minMax"/>
          <c:max val="52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Tonase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_-* #,##0_-;\-* #,##0_-;_-* &quot;-&quot;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303456"/>
        <c:crosses val="autoZero"/>
        <c:crossBetween val="between"/>
      </c:valAx>
      <c:catAx>
        <c:axId val="598303456"/>
        <c:scaling>
          <c:orientation val="minMax"/>
        </c:scaling>
        <c:delete val="1"/>
        <c:axPos val="b"/>
        <c:majorTickMark val="out"/>
        <c:minorTickMark val="none"/>
        <c:tickLblPos val="nextTo"/>
        <c:crossAx val="5247490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egendEntry>
        <c:idx val="1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D" sz="1400"/>
              <a:t>Blending</a:t>
            </a:r>
            <a:r>
              <a:rPr lang="en-ID" sz="1400" baseline="0"/>
              <a:t> Pengisian Unit 1</a:t>
            </a:r>
            <a:endParaRPr lang="en-ID" sz="140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9866759259259253E-2"/>
          <c:y val="0.14935182418386986"/>
          <c:w val="0.91016009259259256"/>
          <c:h val="0.78852824203189165"/>
        </c:manualLayout>
      </c:layout>
      <c:barChart>
        <c:barDir val="col"/>
        <c:grouping val="stacked"/>
        <c:varyColors val="0"/>
        <c:ser>
          <c:idx val="1"/>
          <c:order val="1"/>
          <c:tx>
            <c:v>MRC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'coal blend juli 26'!$G$4:$G$33</c:f>
              <c:numCache>
                <c:formatCode>_-* #,##0_-;\-* #,##0_-;_-* "-"_-;_-@_-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12-4828-8131-7FF1BF8E1026}"/>
            </c:ext>
          </c:extLst>
        </c:ser>
        <c:ser>
          <c:idx val="4"/>
          <c:order val="2"/>
          <c:tx>
            <c:v>MRC%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432000" rIns="39600" bIns="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'coal blend juli 26'!$E$4:$E$33</c:f>
              <c:numCache>
                <c:formatCode>0%</c:formatCode>
                <c:ptCount val="30"/>
                <c:pt idx="0">
                  <c:v>0.60833333333333328</c:v>
                </c:pt>
                <c:pt idx="1">
                  <c:v>0.3</c:v>
                </c:pt>
                <c:pt idx="2">
                  <c:v>0.25</c:v>
                </c:pt>
                <c:pt idx="3">
                  <c:v>0.11666666666666665</c:v>
                </c:pt>
                <c:pt idx="4">
                  <c:v>9.9999999999999992E-2</c:v>
                </c:pt>
                <c:pt idx="5">
                  <c:v>9.9999999999999992E-2</c:v>
                </c:pt>
                <c:pt idx="6">
                  <c:v>0</c:v>
                </c:pt>
                <c:pt idx="7">
                  <c:v>0.29166666666666669</c:v>
                </c:pt>
                <c:pt idx="8">
                  <c:v>0.27499999999999997</c:v>
                </c:pt>
                <c:pt idx="9">
                  <c:v>0.39999999999999997</c:v>
                </c:pt>
                <c:pt idx="10">
                  <c:v>0.19999999999999998</c:v>
                </c:pt>
                <c:pt idx="11">
                  <c:v>0.25</c:v>
                </c:pt>
                <c:pt idx="12">
                  <c:v>0.15</c:v>
                </c:pt>
                <c:pt idx="13">
                  <c:v>0.28333333333333333</c:v>
                </c:pt>
                <c:pt idx="14">
                  <c:v>0.54999999999999993</c:v>
                </c:pt>
                <c:pt idx="15">
                  <c:v>0.4916666666666667</c:v>
                </c:pt>
                <c:pt idx="16">
                  <c:v>0.53333333333333333</c:v>
                </c:pt>
                <c:pt idx="17">
                  <c:v>0.23333333333333331</c:v>
                </c:pt>
                <c:pt idx="18">
                  <c:v>0.30833333333333335</c:v>
                </c:pt>
                <c:pt idx="19">
                  <c:v>0.375</c:v>
                </c:pt>
                <c:pt idx="20">
                  <c:v>0.39999999999999997</c:v>
                </c:pt>
                <c:pt idx="21">
                  <c:v>0.48333333333333334</c:v>
                </c:pt>
                <c:pt idx="22">
                  <c:v>0.2416666666666667</c:v>
                </c:pt>
                <c:pt idx="23">
                  <c:v>9.9999999999999992E-2</c:v>
                </c:pt>
                <c:pt idx="24">
                  <c:v>0.48333333333333334</c:v>
                </c:pt>
                <c:pt idx="25">
                  <c:v>0.28333333333333338</c:v>
                </c:pt>
                <c:pt idx="26">
                  <c:v>0.38333333333333336</c:v>
                </c:pt>
                <c:pt idx="27">
                  <c:v>0.5</c:v>
                </c:pt>
                <c:pt idx="28">
                  <c:v>0.17500000000000002</c:v>
                </c:pt>
                <c:pt idx="29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12-4828-8131-7FF1BF8E1026}"/>
            </c:ext>
          </c:extLst>
        </c:ser>
        <c:ser>
          <c:idx val="2"/>
          <c:order val="3"/>
          <c:tx>
            <c:v>LRC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'coal blend juli 26'!$H$4:$H$33</c:f>
              <c:numCache>
                <c:formatCode>_-* #,##0_-;\-* #,##0_-;_-* "-"_-;_-@_-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12-4828-8131-7FF1BF8E1026}"/>
            </c:ext>
          </c:extLst>
        </c:ser>
        <c:ser>
          <c:idx val="5"/>
          <c:order val="4"/>
          <c:tx>
            <c:v>LRC%</c:v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0" rIns="38100" bIns="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'coal blend juli 26'!$F$4:$F$33</c:f>
              <c:numCache>
                <c:formatCode>0%</c:formatCode>
                <c:ptCount val="30"/>
                <c:pt idx="0">
                  <c:v>0.39166666666666672</c:v>
                </c:pt>
                <c:pt idx="1">
                  <c:v>0.7</c:v>
                </c:pt>
                <c:pt idx="2">
                  <c:v>0.75</c:v>
                </c:pt>
                <c:pt idx="3">
                  <c:v>0.8833333333333333</c:v>
                </c:pt>
                <c:pt idx="4">
                  <c:v>0.9</c:v>
                </c:pt>
                <c:pt idx="5">
                  <c:v>0.9</c:v>
                </c:pt>
                <c:pt idx="6">
                  <c:v>1</c:v>
                </c:pt>
                <c:pt idx="7">
                  <c:v>0.70833333333333326</c:v>
                </c:pt>
                <c:pt idx="8">
                  <c:v>0.72500000000000009</c:v>
                </c:pt>
                <c:pt idx="9">
                  <c:v>0.60000000000000009</c:v>
                </c:pt>
                <c:pt idx="10">
                  <c:v>0.8</c:v>
                </c:pt>
                <c:pt idx="11">
                  <c:v>0.75</c:v>
                </c:pt>
                <c:pt idx="12">
                  <c:v>0.85</c:v>
                </c:pt>
                <c:pt idx="13">
                  <c:v>0.71666666666666667</c:v>
                </c:pt>
                <c:pt idx="14">
                  <c:v>0.45000000000000007</c:v>
                </c:pt>
                <c:pt idx="15">
                  <c:v>0.5083333333333333</c:v>
                </c:pt>
                <c:pt idx="16">
                  <c:v>0.46666666666666667</c:v>
                </c:pt>
                <c:pt idx="17">
                  <c:v>0.76666666666666672</c:v>
                </c:pt>
                <c:pt idx="18">
                  <c:v>0.69166666666666665</c:v>
                </c:pt>
                <c:pt idx="19">
                  <c:v>0.625</c:v>
                </c:pt>
                <c:pt idx="20">
                  <c:v>0.60000000000000009</c:v>
                </c:pt>
                <c:pt idx="21">
                  <c:v>0.51666666666666661</c:v>
                </c:pt>
                <c:pt idx="22">
                  <c:v>0.7583333333333333</c:v>
                </c:pt>
                <c:pt idx="23">
                  <c:v>0.9</c:v>
                </c:pt>
                <c:pt idx="24">
                  <c:v>0.51666666666666661</c:v>
                </c:pt>
                <c:pt idx="25">
                  <c:v>0.71666666666666656</c:v>
                </c:pt>
                <c:pt idx="26">
                  <c:v>0.6166666666666667</c:v>
                </c:pt>
                <c:pt idx="27">
                  <c:v>0.5</c:v>
                </c:pt>
                <c:pt idx="28">
                  <c:v>0.82499999999999996</c:v>
                </c:pt>
                <c:pt idx="29">
                  <c:v>0.66666666666666674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12-4828-8131-7FF1BF8E10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98303456"/>
        <c:axId val="524749024"/>
      </c:barChart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0" tIns="0" rIns="0" bIns="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'coal blend juli 26'!$D$4:$D$33</c:f>
              <c:numCache>
                <c:formatCode>_-* #,##0_-;\-* #,##0_-;_-* "-"_-;_-@_-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512-4828-8131-7FF1BF8E1026}"/>
            </c:ext>
          </c:extLst>
        </c:ser>
        <c:ser>
          <c:idx val="3"/>
          <c:order val="5"/>
          <c:tx>
            <c:v>DATE</c:v>
          </c:tx>
          <c:spPr>
            <a:ln w="34925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'coal blend juli 26'!$B$4:$B$33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512-4828-8131-7FF1BF8E102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76185576"/>
        <c:axId val="576186560"/>
      </c:lineChart>
      <c:valAx>
        <c:axId val="576186560"/>
        <c:scaling>
          <c:orientation val="minMax"/>
          <c:max val="5200"/>
          <c:min val="0"/>
        </c:scaling>
        <c:delete val="0"/>
        <c:axPos val="r"/>
        <c:numFmt formatCode="_-* #,##0_-;\-* #,##0_-;_-* &quot;-&quot;_-;_-@_-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185576"/>
        <c:crosses val="max"/>
        <c:crossBetween val="between"/>
      </c:valAx>
      <c:catAx>
        <c:axId val="576185576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TANGGAL</a:t>
                </a:r>
              </a:p>
            </c:rich>
          </c:tx>
          <c:layout>
            <c:manualLayout>
              <c:xMode val="edge"/>
              <c:yMode val="edge"/>
              <c:x val="0.47345888888888887"/>
              <c:y val="0.97078151986183059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crossAx val="576186560"/>
        <c:crosses val="autoZero"/>
        <c:auto val="1"/>
        <c:lblAlgn val="ctr"/>
        <c:lblOffset val="100"/>
        <c:noMultiLvlLbl val="0"/>
      </c:catAx>
      <c:valAx>
        <c:axId val="524749024"/>
        <c:scaling>
          <c:orientation val="minMax"/>
          <c:max val="52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Tonase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_-* #,##0_-;\-* #,##0_-;_-* &quot;-&quot;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303456"/>
        <c:crosses val="autoZero"/>
        <c:crossBetween val="between"/>
      </c:valAx>
      <c:catAx>
        <c:axId val="598303456"/>
        <c:scaling>
          <c:orientation val="minMax"/>
        </c:scaling>
        <c:delete val="1"/>
        <c:axPos val="b"/>
        <c:majorTickMark val="out"/>
        <c:minorTickMark val="none"/>
        <c:tickLblPos val="nextTo"/>
        <c:crossAx val="5247490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egendEntry>
        <c:idx val="1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D" sz="1400"/>
              <a:t>Blending</a:t>
            </a:r>
            <a:r>
              <a:rPr lang="en-ID" sz="1400" baseline="0"/>
              <a:t> Pengisian Unit 1</a:t>
            </a:r>
            <a:endParaRPr lang="en-ID" sz="140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9866759259259253E-2"/>
          <c:y val="0.14935182418386986"/>
          <c:w val="0.91016009259259256"/>
          <c:h val="0.78852824203189165"/>
        </c:manualLayout>
      </c:layout>
      <c:barChart>
        <c:barDir val="col"/>
        <c:grouping val="stacked"/>
        <c:varyColors val="0"/>
        <c:ser>
          <c:idx val="1"/>
          <c:order val="1"/>
          <c:tx>
            <c:v>MRC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'coal blend agustus 26'!$G$4:$G$33</c:f>
              <c:numCache>
                <c:formatCode>_-* #,##0_-;\-* #,##0_-;_-* "-"_-;_-@_-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10-480F-8C24-14D6D81C9CEA}"/>
            </c:ext>
          </c:extLst>
        </c:ser>
        <c:ser>
          <c:idx val="4"/>
          <c:order val="2"/>
          <c:tx>
            <c:v>MRC%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432000" rIns="39600" bIns="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'coal blend agustus 26'!$E$4:$E$33</c:f>
              <c:numCache>
                <c:formatCode>0%</c:formatCode>
                <c:ptCount val="30"/>
                <c:pt idx="0">
                  <c:v>0.40833333333333327</c:v>
                </c:pt>
                <c:pt idx="1">
                  <c:v>0.25</c:v>
                </c:pt>
                <c:pt idx="2">
                  <c:v>0.10833333333333334</c:v>
                </c:pt>
                <c:pt idx="3">
                  <c:v>0.30833333333333329</c:v>
                </c:pt>
                <c:pt idx="4">
                  <c:v>0.43333333333333335</c:v>
                </c:pt>
                <c:pt idx="5">
                  <c:v>0.31666666666666665</c:v>
                </c:pt>
                <c:pt idx="6">
                  <c:v>0.3666666666666667</c:v>
                </c:pt>
                <c:pt idx="7">
                  <c:v>9.9999999999999992E-2</c:v>
                </c:pt>
                <c:pt idx="8">
                  <c:v>0.16666666666666666</c:v>
                </c:pt>
                <c:pt idx="9">
                  <c:v>0.28333333333333338</c:v>
                </c:pt>
                <c:pt idx="10">
                  <c:v>0.46666666666666662</c:v>
                </c:pt>
                <c:pt idx="11">
                  <c:v>0.35833333333333334</c:v>
                </c:pt>
                <c:pt idx="12">
                  <c:v>0.5</c:v>
                </c:pt>
                <c:pt idx="13">
                  <c:v>0.3666666666666667</c:v>
                </c:pt>
                <c:pt idx="14">
                  <c:v>0.3833333333333333</c:v>
                </c:pt>
                <c:pt idx="15">
                  <c:v>0.5</c:v>
                </c:pt>
                <c:pt idx="16">
                  <c:v>0.23333333333333331</c:v>
                </c:pt>
                <c:pt idx="17">
                  <c:v>0.39999999999999997</c:v>
                </c:pt>
                <c:pt idx="18">
                  <c:v>0.3833333333333333</c:v>
                </c:pt>
                <c:pt idx="19">
                  <c:v>0.78333333333333333</c:v>
                </c:pt>
                <c:pt idx="20">
                  <c:v>0.41666666666666669</c:v>
                </c:pt>
                <c:pt idx="21">
                  <c:v>0.35000000000000003</c:v>
                </c:pt>
                <c:pt idx="22">
                  <c:v>0.41666666666666669</c:v>
                </c:pt>
                <c:pt idx="23">
                  <c:v>0.64166666666666672</c:v>
                </c:pt>
                <c:pt idx="24">
                  <c:v>0.41666666666666669</c:v>
                </c:pt>
                <c:pt idx="25">
                  <c:v>0.45</c:v>
                </c:pt>
                <c:pt idx="26">
                  <c:v>0.3833333333333333</c:v>
                </c:pt>
                <c:pt idx="27">
                  <c:v>0.33333333333333331</c:v>
                </c:pt>
                <c:pt idx="28">
                  <c:v>0.3</c:v>
                </c:pt>
                <c:pt idx="29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10-480F-8C24-14D6D81C9CEA}"/>
            </c:ext>
          </c:extLst>
        </c:ser>
        <c:ser>
          <c:idx val="2"/>
          <c:order val="3"/>
          <c:tx>
            <c:v>LRC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'coal blend agustus 26'!$H$4:$H$33</c:f>
              <c:numCache>
                <c:formatCode>_-* #,##0_-;\-* #,##0_-;_-* "-"_-;_-@_-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10-480F-8C24-14D6D81C9CEA}"/>
            </c:ext>
          </c:extLst>
        </c:ser>
        <c:ser>
          <c:idx val="5"/>
          <c:order val="4"/>
          <c:tx>
            <c:v>LRC%</c:v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0" rIns="38100" bIns="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'coal blend agustus 26'!$F$4:$F$33</c:f>
              <c:numCache>
                <c:formatCode>0%</c:formatCode>
                <c:ptCount val="30"/>
                <c:pt idx="0">
                  <c:v>0.59166666666666679</c:v>
                </c:pt>
                <c:pt idx="1">
                  <c:v>0.75</c:v>
                </c:pt>
                <c:pt idx="2">
                  <c:v>0.89166666666666661</c:v>
                </c:pt>
                <c:pt idx="3">
                  <c:v>0.69166666666666665</c:v>
                </c:pt>
                <c:pt idx="4">
                  <c:v>0.56666666666666665</c:v>
                </c:pt>
                <c:pt idx="5">
                  <c:v>0.68333333333333335</c:v>
                </c:pt>
                <c:pt idx="6">
                  <c:v>0.6333333333333333</c:v>
                </c:pt>
                <c:pt idx="7">
                  <c:v>0.9</c:v>
                </c:pt>
                <c:pt idx="8">
                  <c:v>0.83333333333333337</c:v>
                </c:pt>
                <c:pt idx="9">
                  <c:v>0.71666666666666656</c:v>
                </c:pt>
                <c:pt idx="10">
                  <c:v>0.53333333333333344</c:v>
                </c:pt>
                <c:pt idx="11">
                  <c:v>0.64166666666666661</c:v>
                </c:pt>
                <c:pt idx="12">
                  <c:v>0.5</c:v>
                </c:pt>
                <c:pt idx="13">
                  <c:v>0.6333333333333333</c:v>
                </c:pt>
                <c:pt idx="14">
                  <c:v>0.6166666666666667</c:v>
                </c:pt>
                <c:pt idx="15">
                  <c:v>0.5</c:v>
                </c:pt>
                <c:pt idx="16">
                  <c:v>0.76666666666666672</c:v>
                </c:pt>
                <c:pt idx="17">
                  <c:v>0.60000000000000009</c:v>
                </c:pt>
                <c:pt idx="18">
                  <c:v>0.6166666666666667</c:v>
                </c:pt>
                <c:pt idx="19">
                  <c:v>0.21666666666666667</c:v>
                </c:pt>
                <c:pt idx="20">
                  <c:v>0.58333333333333326</c:v>
                </c:pt>
                <c:pt idx="21">
                  <c:v>0.64999999999999991</c:v>
                </c:pt>
                <c:pt idx="22">
                  <c:v>0.58333333333333326</c:v>
                </c:pt>
                <c:pt idx="23">
                  <c:v>0.35833333333333328</c:v>
                </c:pt>
                <c:pt idx="24">
                  <c:v>0.58333333333333326</c:v>
                </c:pt>
                <c:pt idx="25">
                  <c:v>0.55000000000000004</c:v>
                </c:pt>
                <c:pt idx="26">
                  <c:v>0.6166666666666667</c:v>
                </c:pt>
                <c:pt idx="27">
                  <c:v>0.66666666666666674</c:v>
                </c:pt>
                <c:pt idx="28">
                  <c:v>0.7</c:v>
                </c:pt>
                <c:pt idx="29">
                  <c:v>0.66666666666666674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B10-480F-8C24-14D6D81C9C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98303456"/>
        <c:axId val="524749024"/>
      </c:barChart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0" tIns="0" rIns="0" bIns="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'coal blend agustus 26'!$D$4:$D$33</c:f>
              <c:numCache>
                <c:formatCode>_-* #,##0_-;\-* #,##0_-;_-* "-"_-;_-@_-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B10-480F-8C24-14D6D81C9CEA}"/>
            </c:ext>
          </c:extLst>
        </c:ser>
        <c:ser>
          <c:idx val="3"/>
          <c:order val="5"/>
          <c:tx>
            <c:v>DATE</c:v>
          </c:tx>
          <c:spPr>
            <a:ln w="34925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'coal blend agustus 26'!$B$4:$B$33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B10-480F-8C24-14D6D81C9CE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76185576"/>
        <c:axId val="576186560"/>
      </c:lineChart>
      <c:valAx>
        <c:axId val="576186560"/>
        <c:scaling>
          <c:orientation val="minMax"/>
          <c:max val="5200"/>
          <c:min val="0"/>
        </c:scaling>
        <c:delete val="0"/>
        <c:axPos val="r"/>
        <c:numFmt formatCode="_-* #,##0_-;\-* #,##0_-;_-* &quot;-&quot;_-;_-@_-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185576"/>
        <c:crosses val="max"/>
        <c:crossBetween val="between"/>
      </c:valAx>
      <c:catAx>
        <c:axId val="576185576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TANGGAL</a:t>
                </a:r>
              </a:p>
            </c:rich>
          </c:tx>
          <c:layout>
            <c:manualLayout>
              <c:xMode val="edge"/>
              <c:yMode val="edge"/>
              <c:x val="0.47345888888888887"/>
              <c:y val="0.97078151986183059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crossAx val="576186560"/>
        <c:crosses val="autoZero"/>
        <c:auto val="1"/>
        <c:lblAlgn val="ctr"/>
        <c:lblOffset val="100"/>
        <c:noMultiLvlLbl val="0"/>
      </c:catAx>
      <c:valAx>
        <c:axId val="524749024"/>
        <c:scaling>
          <c:orientation val="minMax"/>
          <c:max val="52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Tonase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_-* #,##0_-;\-* #,##0_-;_-* &quot;-&quot;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303456"/>
        <c:crosses val="autoZero"/>
        <c:crossBetween val="between"/>
      </c:valAx>
      <c:catAx>
        <c:axId val="598303456"/>
        <c:scaling>
          <c:orientation val="minMax"/>
        </c:scaling>
        <c:delete val="1"/>
        <c:axPos val="b"/>
        <c:majorTickMark val="out"/>
        <c:minorTickMark val="none"/>
        <c:tickLblPos val="nextTo"/>
        <c:crossAx val="5247490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egendEntry>
        <c:idx val="1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26</xdr:col>
      <xdr:colOff>326400</xdr:colOff>
      <xdr:row>33</xdr:row>
      <xdr:rowOff>145875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EB07B0-AE51-4452-A7C7-3FF88170A3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26</xdr:col>
      <xdr:colOff>326400</xdr:colOff>
      <xdr:row>33</xdr:row>
      <xdr:rowOff>145875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CDEB99-A364-4DA2-B360-E8C5DD66DF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26</xdr:col>
      <xdr:colOff>326400</xdr:colOff>
      <xdr:row>33</xdr:row>
      <xdr:rowOff>145875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38E537-5827-4046-9711-E435B7E7F5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26</xdr:col>
      <xdr:colOff>326400</xdr:colOff>
      <xdr:row>33</xdr:row>
      <xdr:rowOff>145875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1E93EA-2662-4880-9755-94A0E24C93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26</xdr:col>
      <xdr:colOff>326400</xdr:colOff>
      <xdr:row>33</xdr:row>
      <xdr:rowOff>145875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7D136E-98E7-45D2-A518-7E8BDADCF5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26</xdr:col>
      <xdr:colOff>326400</xdr:colOff>
      <xdr:row>33</xdr:row>
      <xdr:rowOff>145875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ECB95A-414A-4899-B5AE-8EE5C46379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26</xdr:col>
      <xdr:colOff>326400</xdr:colOff>
      <xdr:row>33</xdr:row>
      <xdr:rowOff>145875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49B1C9-CE94-4DF1-93EC-4E9726B581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26</xdr:col>
      <xdr:colOff>326400</xdr:colOff>
      <xdr:row>33</xdr:row>
      <xdr:rowOff>145875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C0A01A-7C61-4C53-9251-383F149157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26</xdr:col>
      <xdr:colOff>326400</xdr:colOff>
      <xdr:row>33</xdr:row>
      <xdr:rowOff>145875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419775-2530-4F9A-83E3-E674EBE539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26</xdr:col>
      <xdr:colOff>326400</xdr:colOff>
      <xdr:row>33</xdr:row>
      <xdr:rowOff>145875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7992E2-8986-4051-86F3-D656882D3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26</xdr:col>
      <xdr:colOff>326400</xdr:colOff>
      <xdr:row>33</xdr:row>
      <xdr:rowOff>145875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A8D4DE-40D4-4313-9043-58C23F474E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26</xdr:col>
      <xdr:colOff>326400</xdr:colOff>
      <xdr:row>33</xdr:row>
      <xdr:rowOff>145875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DBC361-27BE-4D48-B653-83E3ADE8F5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26</xdr:col>
      <xdr:colOff>326400</xdr:colOff>
      <xdr:row>33</xdr:row>
      <xdr:rowOff>145875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724144-DD28-4B97-B017-60E87966CF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26</xdr:col>
      <xdr:colOff>326400</xdr:colOff>
      <xdr:row>33</xdr:row>
      <xdr:rowOff>145875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B26092-C7C0-4809-9B9F-515CE29783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26</xdr:col>
      <xdr:colOff>326400</xdr:colOff>
      <xdr:row>33</xdr:row>
      <xdr:rowOff>145875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9F80AA-FA58-4593-B713-8999C95074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26</xdr:col>
      <xdr:colOff>326400</xdr:colOff>
      <xdr:row>33</xdr:row>
      <xdr:rowOff>145875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DCE40F-C235-4814-945E-A4563257EC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26</xdr:col>
      <xdr:colOff>326400</xdr:colOff>
      <xdr:row>33</xdr:row>
      <xdr:rowOff>145875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11EEDB-688C-41AA-9D3D-98EE2A613E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26</xdr:col>
      <xdr:colOff>326400</xdr:colOff>
      <xdr:row>33</xdr:row>
      <xdr:rowOff>145875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0CCAAC-4D8D-4E30-BF83-D98E0F631C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26</xdr:col>
      <xdr:colOff>326400</xdr:colOff>
      <xdr:row>33</xdr:row>
      <xdr:rowOff>145875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566C77-29AB-488B-A86C-D1E39EA264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26</xdr:col>
      <xdr:colOff>326400</xdr:colOff>
      <xdr:row>33</xdr:row>
      <xdr:rowOff>145875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797662-A0DF-4F4B-9EAE-FE6BCD6472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AppData/Local/Temp/52f77482-303d-4c92-b3e8-63027bf440f2_Coal%20Blanding.zip.Coal%20Blanding.zip/Coal%20Blanding/2025%20(CB_2025)/Coal%20Blend%20Januari%202025.xlsx" TargetMode="External"/><Relationship Id="rId2" Type="http://schemas.openxmlformats.org/officeDocument/2006/relationships/externalLinkPath" Target="file:///C:\Users\agus.kurniawan\AppData\Local\Temp\52f77482-303d-4c92-b3e8-63027bf440f2_Coal%20Blanding.zip.Coal%20Blanding.zip\Coal%20Blanding\2025%20(CB_2025)\Coal%20Blend%20Januari%202025.xlsx" TargetMode="External"/><Relationship Id="rId1" Type="http://schemas.openxmlformats.org/officeDocument/2006/relationships/externalLinkPath" Target="/Users/agus.kurniawan/AppData/Local/Temp/52f77482-303d-4c92-b3e8-63027bf440f2_Coal%20Blanding.zip.Coal%20Blanding.zip/Coal%20Blanding/2025%20(CB_2025)/Coal%20Blend%20Januari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30.223\PLTU%20PALABUHANRATU\LABUAN\Documents%20and%20Settings\pjb\Desktop\FORM\ME_KINERJA_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30.223\Users\SPPPLN2\AppData\Local\Temp\Rar$DI01.359\PRATU%20BB%20-%20Mutasi%2010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AppData/Local/Temp/854c7970-1b30-463f-806a-cb75f4656ace_Coal%20Blanding.zip.Coal%20Blanding.zip/Coal%20Blanding/2025%20(CB_2025)/Coal%20Blend%20Januari%202025.xlsx" TargetMode="External"/><Relationship Id="rId2" Type="http://schemas.openxmlformats.org/officeDocument/2006/relationships/externalLinkPath" Target="file:///C:\Users\agus.kurniawan\AppData\Local\Temp\854c7970-1b30-463f-806a-cb75f4656ace_Coal%20Blanding.zip.Coal%20Blanding.zip\Coal%20Blanding\2025%20(CB_2025)\Coal%20Blend%20Januari%202025.xlsx" TargetMode="External"/><Relationship Id="rId1" Type="http://schemas.openxmlformats.org/officeDocument/2006/relationships/externalLinkPath" Target="/Users/agus.kurniawan/AppData/Local/Temp/854c7970-1b30-463f-806a-cb75f4656ace_Coal%20Blanding.zip.Coal%20Blanding.zip/Coal%20Blanding/2025%20(CB_2025)/Coal%20Blend%20Januari%202025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AppData/Local/Temp/9a960615-f1d3-44da-bdf4-e77e71c5cdce_Coal%20Blanding.zip.Coal%20Blanding.zip/Coal%20Blanding/2025%20(CB_2025)/Coal%20Blend%20Februari%202025.xlsx" TargetMode="External"/><Relationship Id="rId2" Type="http://schemas.openxmlformats.org/officeDocument/2006/relationships/externalLinkPath" Target="file:///C:\Users\agus.kurniawan\AppData\Local\Temp\9a960615-f1d3-44da-bdf4-e77e71c5cdce_Coal%20Blanding.zip.Coal%20Blanding.zip\Coal%20Blanding\2025%20(CB_2025)\Coal%20Blend%20Februari%202025.xlsx" TargetMode="External"/><Relationship Id="rId1" Type="http://schemas.openxmlformats.org/officeDocument/2006/relationships/externalLinkPath" Target="/Users/agus.kurniawan/AppData/Local/Temp/9a960615-f1d3-44da-bdf4-e77e71c5cdce_Coal%20Blanding.zip.Coal%20Blanding.zip/Coal%20Blanding/2025%20(CB_2025)/Coal%20Blend%20Februari%202025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AppData/Local/Temp/26293bf2-4de1-409c-a5ed-b046a9f56c5a_Coal%20Blanding.zip.Coal%20Blanding.zip/Coal%20Blanding/2025%20(CB_2025)/Coal%20Blend%20Maret%202025.xlsx" TargetMode="External"/><Relationship Id="rId2" Type="http://schemas.openxmlformats.org/officeDocument/2006/relationships/externalLinkPath" Target="file:///C:\Users\agus.kurniawan\AppData\Local\Temp\26293bf2-4de1-409c-a5ed-b046a9f56c5a_Coal%20Blanding.zip.Coal%20Blanding.zip\Coal%20Blanding\2025%20(CB_2025)\Coal%20Blend%20Maret%202025.xlsx" TargetMode="External"/><Relationship Id="rId1" Type="http://schemas.openxmlformats.org/officeDocument/2006/relationships/externalLinkPath" Target="/Users/agus.kurniawan/AppData/Local/Temp/26293bf2-4de1-409c-a5ed-b046a9f56c5a_Coal%20Blanding.zip.Coal%20Blanding.zip/Coal%20Blanding/2025%20(CB_2025)/Coal%20Blend%20Maret%202025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AppData/Local/Temp/bdace35b-fc9b-4f3b-b9b9-b330f443581c_Coal%20Blanding.zip.Coal%20Blanding.zip/Coal%20Blanding/2025%20(CB_2025)/Coal%20Blend%20April.xlsx" TargetMode="External"/><Relationship Id="rId2" Type="http://schemas.openxmlformats.org/officeDocument/2006/relationships/externalLinkPath" Target="file:///C:\Users\agus.kurniawan\AppData\Local\Temp\bdace35b-fc9b-4f3b-b9b9-b330f443581c_Coal%20Blanding.zip.Coal%20Blanding.zip\Coal%20Blanding\2025%20(CB_2025)\Coal%20Blend%20April.xlsx" TargetMode="External"/><Relationship Id="rId1" Type="http://schemas.openxmlformats.org/officeDocument/2006/relationships/externalLinkPath" Target="/Users/agus.kurniawan/AppData/Local/Temp/bdace35b-fc9b-4f3b-b9b9-b330f443581c_Coal%20Blanding.zip.Coal%20Blanding.zip/Coal%20Blanding/2025%20(CB_2025)/Coal%20Blend%20April.xlsx" TargetMode="External"/></Relationships>
</file>

<file path=xl/externalLinks/_rels/externalLink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AppData/Local/Temp/1dcb330a-7177-4ffc-b18b-f3a698fc8003_Coal%20Blanding.zip.Coal%20Blanding.zip/Coal%20Blanding/2025%20(CB_2025)/Coal%20Blend%20Mei.xlsx" TargetMode="External"/><Relationship Id="rId2" Type="http://schemas.openxmlformats.org/officeDocument/2006/relationships/externalLinkPath" Target="file:///C:\Users\agus.kurniawan\AppData\Local\Temp\1dcb330a-7177-4ffc-b18b-f3a698fc8003_Coal%20Blanding.zip.Coal%20Blanding.zip\Coal%20Blanding\2025%20(CB_2025)\Coal%20Blend%20Mei.xlsx" TargetMode="External"/><Relationship Id="rId1" Type="http://schemas.openxmlformats.org/officeDocument/2006/relationships/externalLinkPath" Target="/Users/agus.kurniawan/AppData/Local/Temp/1dcb330a-7177-4ffc-b18b-f3a698fc8003_Coal%20Blanding.zip.Coal%20Blanding.zip/Coal%20Blanding/2025%20(CB_2025)/Coal%20Blend%20Mei.xlsx" TargetMode="External"/></Relationships>
</file>

<file path=xl/externalLinks/_rels/externalLink9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AppData/Local/Temp/70e06f69-93c0-43d5-996c-66ef2be45427_Coal%20Blanding.zip.Coal%20Blanding.zip/Coal%20Blanding/2025%20(CB_2025)/Coal%20Blend%20Juni.xlsx" TargetMode="External"/><Relationship Id="rId2" Type="http://schemas.openxmlformats.org/officeDocument/2006/relationships/externalLinkPath" Target="file:///C:\Users\agus.kurniawan\AppData\Local\Temp\70e06f69-93c0-43d5-996c-66ef2be45427_Coal%20Blanding.zip.Coal%20Blanding.zip\Coal%20Blanding\2025%20(CB_2025)\Coal%20Blend%20Juni.xlsx" TargetMode="External"/><Relationship Id="rId1" Type="http://schemas.openxmlformats.org/officeDocument/2006/relationships/externalLinkPath" Target="/Users/agus.kurniawan/AppData/Local/Temp/70e06f69-93c0-43d5-996c-66ef2be45427_Coal%20Blanding.zip.Coal%20Blanding.zip/Coal%20Blanding/2025%20(CB_2025)/Coal%20Blend%20Juni.xlsx" TargetMode="External"/></Relationships>
</file>

<file path=xl/externalLinks/_rels/externalLink10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AppData/Local/Temp/2b0c0615-a87d-4043-a70a-fc119286fab7_Coal%20Blanding.zip.Coal%20Blanding.zip/Coal%20Blanding/2025%20(CB_2025)/Coal%20Blend%20Juli.xlsx" TargetMode="External"/><Relationship Id="rId2" Type="http://schemas.openxmlformats.org/officeDocument/2006/relationships/externalLinkPath" Target="file:///C:\Users\agus.kurniawan\AppData\Local\Temp\2b0c0615-a87d-4043-a70a-fc119286fab7_Coal%20Blanding.zip.Coal%20Blanding.zip\Coal%20Blanding\2025%20(CB_2025)\Coal%20Blend%20Juli.xlsx" TargetMode="External"/><Relationship Id="rId1" Type="http://schemas.openxmlformats.org/officeDocument/2006/relationships/externalLinkPath" Target="/Users/agus.kurniawan/AppData/Local/Temp/2b0c0615-a87d-4043-a70a-fc119286fab7_Coal%20Blanding.zip.Coal%20Blanding.zip/Coal%20Blanding/2025%20(CB_2025)/Coal%20Blend%20Juli.xlsx" TargetMode="External"/></Relationships>
</file>

<file path=xl/externalLinks/_rels/externalLink1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AppData/Local/Temp/b7098220-4ed7-4198-a59f-daf0fbd14969_Coal%20Blanding.zip.Coal%20Blanding.zip/Coal%20Blanding/2025%20(CB_2025)/Coal%20Blend%20Agustus.xlsx" TargetMode="External"/><Relationship Id="rId2" Type="http://schemas.openxmlformats.org/officeDocument/2006/relationships/externalLinkPath" Target="file:///C:\Users\agus.kurniawan\AppData\Local\Temp\b7098220-4ed7-4198-a59f-daf0fbd14969_Coal%20Blanding.zip.Coal%20Blanding.zip\Coal%20Blanding\2025%20(CB_2025)\Coal%20Blend%20Agustus.xlsx" TargetMode="External"/><Relationship Id="rId1" Type="http://schemas.openxmlformats.org/officeDocument/2006/relationships/externalLinkPath" Target="/Users/agus.kurniawan/AppData/Local/Temp/b7098220-4ed7-4198-a59f-daf0fbd14969_Coal%20Blanding.zip.Coal%20Blanding.zip/Coal%20Blanding/2025%20(CB_2025)/Coal%20Blend%20Agustus.xlsx" TargetMode="External"/></Relationships>
</file>

<file path=xl/externalLinks/_rels/externalLink1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AppData/Local/Temp/11383a88-e602-41d0-b008-37b563157cc4_Coal%20Blanding.zip.Coal%20Blanding.zip/Coal%20Blanding/2025%20(CB_2025)/Coal%20Blend%20September.xlsx" TargetMode="External"/><Relationship Id="rId2" Type="http://schemas.openxmlformats.org/officeDocument/2006/relationships/externalLinkPath" Target="file:///C:\Users\agus.kurniawan\AppData\Local\Temp\11383a88-e602-41d0-b008-37b563157cc4_Coal%20Blanding.zip.Coal%20Blanding.zip\Coal%20Blanding\2025%20(CB_2025)\Coal%20Blend%20September.xlsx" TargetMode="External"/><Relationship Id="rId1" Type="http://schemas.openxmlformats.org/officeDocument/2006/relationships/externalLinkPath" Target="/Users/agus.kurniawan/AppData/Local/Temp/11383a88-e602-41d0-b008-37b563157cc4_Coal%20Blanding.zip.Coal%20Blanding.zip/Coal%20Blanding/2025%20(CB_2025)/Coal%20Blend%20September.xlsx" TargetMode="External"/></Relationships>
</file>

<file path=xl/externalLinks/_rels/externalLink1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AppData/Local/Temp/06d8e9db-dca2-411f-bd24-50e7173b4df0_Coal%20Blanding.zip.Coal%20Blanding.zip/Coal%20Blanding/2025%20(CB_2025)/Coal%20Blend%20Oktober.xlsx" TargetMode="External"/><Relationship Id="rId2" Type="http://schemas.openxmlformats.org/officeDocument/2006/relationships/externalLinkPath" Target="file:///C:\Users\agus.kurniawan\AppData\Local\Temp\06d8e9db-dca2-411f-bd24-50e7173b4df0_Coal%20Blanding.zip.Coal%20Blanding.zip\Coal%20Blanding\2025%20(CB_2025)\Coal%20Blend%20Oktober.xlsx" TargetMode="External"/><Relationship Id="rId1" Type="http://schemas.openxmlformats.org/officeDocument/2006/relationships/externalLinkPath" Target="/Users/agus.kurniawan/AppData/Local/Temp/06d8e9db-dca2-411f-bd24-50e7173b4df0_Coal%20Blanding.zip.Coal%20Blanding.zip/Coal%20Blanding/2025%20(CB_2025)/Coal%20Blend%20Oktober.xlsx" TargetMode="External"/></Relationships>
</file>

<file path=xl/externalLinks/_rels/externalLink1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AppData/Local/Temp/99b24456-ad83-44ff-b4d6-0b60314d422b_Coal%20Blanding.zip.Coal%20Blanding.zip/Coal%20Blanding/2025%20(CB_2025)/Coal%20Blend%20November.xlsx" TargetMode="External"/><Relationship Id="rId2" Type="http://schemas.openxmlformats.org/officeDocument/2006/relationships/externalLinkPath" Target="file:///C:\Users\agus.kurniawan\AppData\Local\Temp\99b24456-ad83-44ff-b4d6-0b60314d422b_Coal%20Blanding.zip.Coal%20Blanding.zip\Coal%20Blanding\2025%20(CB_2025)\Coal%20Blend%20November.xlsx" TargetMode="External"/><Relationship Id="rId1" Type="http://schemas.openxmlformats.org/officeDocument/2006/relationships/externalLinkPath" Target="/Users/agus.kurniawan/AppData/Local/Temp/99b24456-ad83-44ff-b4d6-0b60314d422b_Coal%20Blanding.zip.Coal%20Blanding.zip/Coal%20Blanding/2025%20(CB_2025)/Coal%20Blend%20November.xlsx" TargetMode="External"/></Relationships>
</file>

<file path=xl/externalLinks/_rels/externalLink1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AppData/Local/Temp/52fd6ad4-1581-4f9e-a3a6-a785006ae57a_Coal%20Blanding.zip.Coal%20Blanding.zip/Coal%20Blanding/2025%20(CB_2025)/Coal%20Blend%20Desember.xlsx" TargetMode="External"/><Relationship Id="rId2" Type="http://schemas.openxmlformats.org/officeDocument/2006/relationships/externalLinkPath" Target="file:///C:\Users\agus.kurniawan\AppData\Local\Temp\52fd6ad4-1581-4f9e-a3a6-a785006ae57a_Coal%20Blanding.zip.Coal%20Blanding.zip\Coal%20Blanding\2025%20(CB_2025)\Coal%20Blend%20Desember.xlsx" TargetMode="External"/><Relationship Id="rId1" Type="http://schemas.openxmlformats.org/officeDocument/2006/relationships/externalLinkPath" Target="/Users/agus.kurniawan/AppData/Local/Temp/52fd6ad4-1581-4f9e-a3a6-a785006ae57a_Coal%20Blanding.zip.Coal%20Blanding.zip/Coal%20Blanding/2025%20(CB_2025)/Coal%20Blend%20Desember.xlsx" TargetMode="External"/></Relationships>
</file>

<file path=xl/externalLinks/_rels/externalLink1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AppData/Local/Temp/439b40b1-6e99-4029-8ab7-3ce9bb64bd52_Coal%20Blanding.zip.Coal%20Blanding.zip/Coal%20Blanding/2026%20(CB_2026)/Coal%20Blend%20Januari%202026.xlsx" TargetMode="External"/><Relationship Id="rId2" Type="http://schemas.openxmlformats.org/officeDocument/2006/relationships/externalLinkPath" Target="file:///C:\Users\agus.kurniawan\AppData\Local\Temp\439b40b1-6e99-4029-8ab7-3ce9bb64bd52_Coal%20Blanding.zip.Coal%20Blanding.zip\Coal%20Blanding\2026%20(CB_2026)\Coal%20Blend%20Januari%202026.xlsx" TargetMode="External"/><Relationship Id="rId1" Type="http://schemas.openxmlformats.org/officeDocument/2006/relationships/externalLinkPath" Target="/Users/agus.kurniawan/AppData/Local/Temp/439b40b1-6e99-4029-8ab7-3ce9bb64bd52_Coal%20Blanding.zip.Coal%20Blanding.zip/Coal%20Blanding/2026%20(CB_2026)/Coal%20Blend%20Januari%202026.xlsx" TargetMode="External"/></Relationships>
</file>

<file path=xl/externalLinks/_rels/externalLink1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AppData/Local/Temp/963c20ec-b117-4727-8eee-089dc4fc9afd_Coal%20Blanding.zip.Coal%20Blanding.zip/Coal%20Blanding/2026%20(CB_2026)/Coal%20Blend%20Februari%202026.xlsx" TargetMode="External"/><Relationship Id="rId2" Type="http://schemas.openxmlformats.org/officeDocument/2006/relationships/externalLinkPath" Target="file:///C:\Users\agus.kurniawan\AppData\Local\Temp\963c20ec-b117-4727-8eee-089dc4fc9afd_Coal%20Blanding.zip.Coal%20Blanding.zip\Coal%20Blanding\2026%20(CB_2026)\Coal%20Blend%20Februari%202026.xlsx" TargetMode="External"/><Relationship Id="rId1" Type="http://schemas.openxmlformats.org/officeDocument/2006/relationships/externalLinkPath" Target="/Users/agus.kurniawan/AppData/Local/Temp/963c20ec-b117-4727-8eee-089dc4fc9afd_Coal%20Blanding.zip.Coal%20Blanding.zip/Coal%20Blanding/2026%20(CB_2026)/Coal%20Blend%20Februari%202026.xlsx" TargetMode="External"/></Relationships>
</file>

<file path=xl/externalLinks/_rels/externalLink1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AppData/Local/Temp/9b25497e-9d6a-40b7-b680-1aa6b93ffa09_Coal%20Blanding.zip.Coal%20Blanding.zip/Coal%20Blanding/2026%20(CB_2026)/Coal%20Blend%20Maret%202026.xlsx" TargetMode="External"/><Relationship Id="rId2" Type="http://schemas.openxmlformats.org/officeDocument/2006/relationships/externalLinkPath" Target="file:///C:\Users\agus.kurniawan\AppData\Local\Temp\9b25497e-9d6a-40b7-b680-1aa6b93ffa09_Coal%20Blanding.zip.Coal%20Blanding.zip\Coal%20Blanding\2026%20(CB_2026)\Coal%20Blend%20Maret%202026.xlsx" TargetMode="External"/><Relationship Id="rId1" Type="http://schemas.openxmlformats.org/officeDocument/2006/relationships/externalLinkPath" Target="/Users/agus.kurniawan/AppData/Local/Temp/9b25497e-9d6a-40b7-b680-1aa6b93ffa09_Coal%20Blanding.zip.Coal%20Blanding.zip/Coal%20Blanding/2026%20(CB_2026)/Coal%20Blend%20Maret%202026.xlsx" TargetMode="External"/></Relationships>
</file>

<file path=xl/externalLinks/_rels/externalLink19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AppData/Local/Temp/1646e8b3-7ade-4eeb-a163-47c8a573e80c_Coal%20Blanding.zip.Coal%20Blanding.zip/Coal%20Blanding/2026%20(CB_2026)/Coal%20Blend%20April%202026.xlsx" TargetMode="External"/><Relationship Id="rId2" Type="http://schemas.openxmlformats.org/officeDocument/2006/relationships/externalLinkPath" Target="file:///C:\Users\agus.kurniawan\AppData\Local\Temp\1646e8b3-7ade-4eeb-a163-47c8a573e80c_Coal%20Blanding.zip.Coal%20Blanding.zip\Coal%20Blanding\2026%20(CB_2026)\Coal%20Blend%20April%202026.xlsx" TargetMode="External"/><Relationship Id="rId1" Type="http://schemas.openxmlformats.org/officeDocument/2006/relationships/externalLinkPath" Target="/Users/agus.kurniawan/AppData/Local/Temp/1646e8b3-7ade-4eeb-a163-47c8a573e80c_Coal%20Blanding.zip.Coal%20Blanding.zip/Coal%20Blanding/2026%20(CB_2026)/Coal%20Blend%20April%202026.xlsx" TargetMode="External"/></Relationships>
</file>

<file path=xl/externalLinks/_rels/externalLink20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AppData/Local/Temp/47d4230f-983e-4cf2-ac54-0202eef44760_Coal%20Blanding.zip.Coal%20Blanding.zip/Coal%20Blanding/2026%20(CB_2026)/Coal%20Blend%20Mei%202026.xlsx" TargetMode="External"/><Relationship Id="rId2" Type="http://schemas.openxmlformats.org/officeDocument/2006/relationships/externalLinkPath" Target="file:///C:\Users\agus.kurniawan\AppData\Local\Temp\47d4230f-983e-4cf2-ac54-0202eef44760_Coal%20Blanding.zip.Coal%20Blanding.zip\Coal%20Blanding\2026%20(CB_2026)\Coal%20Blend%20Mei%202026.xlsx" TargetMode="External"/><Relationship Id="rId1" Type="http://schemas.openxmlformats.org/officeDocument/2006/relationships/externalLinkPath" Target="/Users/agus.kurniawan/AppData/Local/Temp/47d4230f-983e-4cf2-ac54-0202eef44760_Coal%20Blanding.zip.Coal%20Blanding.zip/Coal%20Blanding/2026%20(CB_2026)/Coal%20Blend%20Mei%202026.xlsx" TargetMode="External"/></Relationships>
</file>

<file path=xl/externalLinks/_rels/externalLink2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AppData/Local/Temp/364b452a-d9ee-4c6c-a3a5-05c69a971d1f_Coal%20Blanding.zip.Coal%20Blanding.zip/Coal%20Blanding/2026%20(CB_2026)/Coal%20Blend%20Juni%202026.xlsx" TargetMode="External"/><Relationship Id="rId2" Type="http://schemas.openxmlformats.org/officeDocument/2006/relationships/externalLinkPath" Target="file:///C:\Users\agus.kurniawan\AppData\Local\Temp\364b452a-d9ee-4c6c-a3a5-05c69a971d1f_Coal%20Blanding.zip.Coal%20Blanding.zip\Coal%20Blanding\2026%20(CB_2026)\Coal%20Blend%20Juni%202026.xlsx" TargetMode="External"/><Relationship Id="rId1" Type="http://schemas.openxmlformats.org/officeDocument/2006/relationships/externalLinkPath" Target="/Users/agus.kurniawan/AppData/Local/Temp/364b452a-d9ee-4c6c-a3a5-05c69a971d1f_Coal%20Blanding.zip.Coal%20Blanding.zip/Coal%20Blanding/2026%20(CB_2026)/Coal%20Blend%20Juni%202026.xlsx" TargetMode="External"/></Relationships>
</file>

<file path=xl/externalLinks/_rels/externalLink2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AppData/Local/Temp/44027a28-00c5-498a-bd43-080ff3de6e5c_Coal%20Blanding.zip.Coal%20Blanding.zip/Coal%20Blanding/2026%20(CB_2026)/Coal%20Blend%20Juli%202026.xlsx" TargetMode="External"/><Relationship Id="rId2" Type="http://schemas.openxmlformats.org/officeDocument/2006/relationships/externalLinkPath" Target="file:///C:\Users\agus.kurniawan\AppData\Local\Temp\44027a28-00c5-498a-bd43-080ff3de6e5c_Coal%20Blanding.zip.Coal%20Blanding.zip\Coal%20Blanding\2026%20(CB_2026)\Coal%20Blend%20Juli%202026.xlsx" TargetMode="External"/><Relationship Id="rId1" Type="http://schemas.openxmlformats.org/officeDocument/2006/relationships/externalLinkPath" Target="/Users/agus.kurniawan/AppData/Local/Temp/44027a28-00c5-498a-bd43-080ff3de6e5c_Coal%20Blanding.zip.Coal%20Blanding.zip/Coal%20Blanding/2026%20(CB_2026)/Coal%20Blend%20Juli%202026.xlsx" TargetMode="External"/></Relationships>
</file>

<file path=xl/externalLinks/_rels/externalLink2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AppData/Local/Temp/5f0ad96e-8903-4f6d-af07-9a1255322f3c_Coal%20Blanding.zip.Coal%20Blanding.zip/Coal%20Blanding/2026%20(CB_2026)/Coal%20Blend%20Agustus%202026.xlsx" TargetMode="External"/><Relationship Id="rId2" Type="http://schemas.openxmlformats.org/officeDocument/2006/relationships/externalLinkPath" Target="file:///C:\Users\agus.kurniawan\AppData\Local\Temp\5f0ad96e-8903-4f6d-af07-9a1255322f3c_Coal%20Blanding.zip.Coal%20Blanding.zip\Coal%20Blanding\2026%20(CB_2026)\Coal%20Blend%20Agustus%202026.xlsx" TargetMode="External"/><Relationship Id="rId1" Type="http://schemas.openxmlformats.org/officeDocument/2006/relationships/externalLinkPath" Target="/Users/agus.kurniawan/AppData/Local/Temp/5f0ad96e-8903-4f6d-af07-9a1255322f3c_Coal%20Blanding.zip.Coal%20Blanding.zip/Coal%20Blanding/2026%20(CB_2026)/Coal%20Blend%20Agustus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ATU"/>
      <sheetName val="Coal Blend"/>
      <sheetName val="Resume Coal Blend"/>
      <sheetName val="Estimasi NPHR"/>
      <sheetName val="UNIT 1"/>
      <sheetName val="UNIT 2"/>
      <sheetName val="UNIT 3"/>
      <sheetName val="COAL BLENDING MARET 2020"/>
      <sheetName val="INPUT DATA"/>
      <sheetName val="kWh Gross"/>
      <sheetName val="MaxMin"/>
    </sheetNames>
    <sheetDataSet>
      <sheetData sheetId="0">
        <row r="1724">
          <cell r="A1724">
            <v>1719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data"/>
      <sheetName val="Report"/>
      <sheetName val="DERAT"/>
      <sheetName val="OUTAGTE"/>
      <sheetName val="Nilai"/>
      <sheetName val="Lbln"/>
      <sheetName val="Report (2)"/>
      <sheetName val="StU"/>
      <sheetName val="R_ccode"/>
      <sheetName val="HARGA"/>
      <sheetName val="DGGK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B2">
            <v>110</v>
          </cell>
          <cell r="C2" t="str">
            <v>NSHRS</v>
          </cell>
          <cell r="D2" t="str">
            <v xml:space="preserve">   Standby Normal</v>
          </cell>
        </row>
        <row r="3">
          <cell r="B3">
            <v>120</v>
          </cell>
          <cell r="C3" t="str">
            <v>SDHRS</v>
          </cell>
          <cell r="D3" t="str">
            <v xml:space="preserve">   Standby dg Schedule Derating</v>
          </cell>
        </row>
        <row r="4">
          <cell r="B4">
            <v>130</v>
          </cell>
          <cell r="C4" t="str">
            <v>FDHRS</v>
          </cell>
          <cell r="D4" t="str">
            <v xml:space="preserve">   Standby dg Forced Derating</v>
          </cell>
        </row>
        <row r="5">
          <cell r="B5">
            <v>200</v>
          </cell>
          <cell r="C5" t="str">
            <v>SH</v>
          </cell>
          <cell r="D5" t="str">
            <v>In Service (Operasi)</v>
          </cell>
        </row>
        <row r="6">
          <cell r="B6">
            <v>210</v>
          </cell>
          <cell r="C6" t="str">
            <v>NOH</v>
          </cell>
          <cell r="D6" t="str">
            <v xml:space="preserve">   Operasi Normal</v>
          </cell>
        </row>
        <row r="7">
          <cell r="B7">
            <v>220</v>
          </cell>
          <cell r="C7" t="str">
            <v>PDH</v>
          </cell>
          <cell r="D7" t="str">
            <v xml:space="preserve">   Operasi dg Planned Derating</v>
          </cell>
        </row>
        <row r="8">
          <cell r="B8">
            <v>230</v>
          </cell>
          <cell r="C8" t="str">
            <v>FDH</v>
          </cell>
          <cell r="D8" t="str">
            <v xml:space="preserve">   Operasi dg Forced Derating</v>
          </cell>
        </row>
        <row r="9">
          <cell r="B9">
            <v>300</v>
          </cell>
          <cell r="C9" t="str">
            <v>UAH</v>
          </cell>
          <cell r="D9" t="str">
            <v>Out of Service (Tidak Siap)</v>
          </cell>
        </row>
        <row r="10">
          <cell r="B10">
            <v>310</v>
          </cell>
          <cell r="C10" t="str">
            <v>POH</v>
          </cell>
          <cell r="D10" t="str">
            <v xml:space="preserve">   Planned Outage</v>
          </cell>
        </row>
        <row r="11">
          <cell r="B11">
            <v>320</v>
          </cell>
          <cell r="C11" t="str">
            <v>MOH</v>
          </cell>
          <cell r="D11" t="str">
            <v xml:space="preserve">   Maintenance Outage</v>
          </cell>
        </row>
        <row r="12">
          <cell r="B12">
            <v>330</v>
          </cell>
          <cell r="C12" t="str">
            <v>FOH</v>
          </cell>
          <cell r="D12" t="str">
            <v xml:space="preserve">   Forced Outage</v>
          </cell>
        </row>
        <row r="13">
          <cell r="B13">
            <v>0</v>
          </cell>
          <cell r="C13" t="str">
            <v>NoData</v>
          </cell>
          <cell r="D13" t="str">
            <v>Tidak ada Data</v>
          </cell>
        </row>
        <row r="14">
          <cell r="B14">
            <v>100</v>
          </cell>
          <cell r="C14" t="str">
            <v>RSH</v>
          </cell>
          <cell r="D14" t="str">
            <v>Reserve Shutdown</v>
          </cell>
        </row>
        <row r="15">
          <cell r="B15">
            <v>240</v>
          </cell>
          <cell r="C15" t="str">
            <v>MDH</v>
          </cell>
          <cell r="D15" t="str">
            <v xml:space="preserve">   Operasi dg Maintenance Derating</v>
          </cell>
        </row>
      </sheetData>
      <sheetData sheetId="9">
        <row r="2">
          <cell r="B2" t="str">
            <v>01</v>
          </cell>
          <cell r="C2" t="str">
            <v>BOILER</v>
          </cell>
        </row>
        <row r="3">
          <cell r="B3" t="str">
            <v>01A</v>
          </cell>
          <cell r="C3" t="str">
            <v xml:space="preserve">   Boiler Fuel Supply to Bunker </v>
          </cell>
        </row>
        <row r="4">
          <cell r="B4" t="str">
            <v>01A01</v>
          </cell>
          <cell r="C4" t="str">
            <v xml:space="preserve">      Thaw shed failure or fire </v>
          </cell>
          <cell r="D4" t="str">
            <v>10</v>
          </cell>
        </row>
        <row r="5">
          <cell r="B5" t="str">
            <v>01A02</v>
          </cell>
          <cell r="C5" t="str">
            <v xml:space="preserve">      Coal car dumpers, shakers, and unloaders </v>
          </cell>
          <cell r="D5" t="str">
            <v>20</v>
          </cell>
        </row>
        <row r="6">
          <cell r="B6" t="str">
            <v>01A03</v>
          </cell>
          <cell r="C6" t="str">
            <v xml:space="preserve">      Unloading/receiving hopper (train/truck) </v>
          </cell>
          <cell r="D6" t="str">
            <v>22</v>
          </cell>
        </row>
        <row r="7">
          <cell r="B7" t="str">
            <v>01A04</v>
          </cell>
          <cell r="C7" t="str">
            <v xml:space="preserve">      Rotary plow </v>
          </cell>
          <cell r="D7" t="str">
            <v>24</v>
          </cell>
        </row>
        <row r="8">
          <cell r="B8" t="str">
            <v>01A05</v>
          </cell>
          <cell r="C8" t="str">
            <v xml:space="preserve">      Dust suppression system </v>
          </cell>
          <cell r="D8" t="str">
            <v>26</v>
          </cell>
        </row>
        <row r="9">
          <cell r="B9" t="str">
            <v>01A06</v>
          </cell>
          <cell r="C9" t="str">
            <v xml:space="preserve">      Dust collection system </v>
          </cell>
          <cell r="D9" t="str">
            <v>28</v>
          </cell>
        </row>
        <row r="10">
          <cell r="B10" t="str">
            <v>01A07</v>
          </cell>
          <cell r="C10" t="str">
            <v xml:space="preserve">      Coal conveyors and feeders </v>
          </cell>
          <cell r="D10" t="str">
            <v>30</v>
          </cell>
        </row>
        <row r="11">
          <cell r="B11" t="str">
            <v>01A08</v>
          </cell>
          <cell r="C11" t="str">
            <v xml:space="preserve">      Metal detector/collector (including magnetic separator) </v>
          </cell>
          <cell r="D11" t="str">
            <v>35</v>
          </cell>
        </row>
        <row r="12">
          <cell r="B12" t="str">
            <v>01A09</v>
          </cell>
          <cell r="C12" t="str">
            <v xml:space="preserve">      Coal elevators </v>
          </cell>
          <cell r="D12" t="str">
            <v>40</v>
          </cell>
        </row>
        <row r="13">
          <cell r="B13" t="str">
            <v>01A10</v>
          </cell>
          <cell r="C13" t="str">
            <v xml:space="preserve">      Coal storage fires </v>
          </cell>
          <cell r="D13" t="str">
            <v>50</v>
          </cell>
        </row>
        <row r="14">
          <cell r="B14" t="str">
            <v>01A11</v>
          </cell>
          <cell r="C14" t="str">
            <v xml:space="preserve">      Coal crushers including motors </v>
          </cell>
          <cell r="D14" t="str">
            <v>60</v>
          </cell>
        </row>
        <row r="15">
          <cell r="B15" t="str">
            <v>01A12</v>
          </cell>
          <cell r="C15" t="str">
            <v xml:space="preserve">      Coal samplers </v>
          </cell>
          <cell r="D15" t="str">
            <v>70</v>
          </cell>
        </row>
        <row r="16">
          <cell r="B16" t="str">
            <v>01A13</v>
          </cell>
          <cell r="C16" t="str">
            <v xml:space="preserve">      Storage silos/hoppers </v>
          </cell>
          <cell r="D16" t="str">
            <v>75</v>
          </cell>
        </row>
        <row r="17">
          <cell r="B17" t="str">
            <v>01A14</v>
          </cell>
          <cell r="C17" t="str">
            <v xml:space="preserve">      Stackers/reclaimers </v>
          </cell>
          <cell r="D17" t="str">
            <v>80</v>
          </cell>
        </row>
        <row r="18">
          <cell r="B18" t="str">
            <v>01A15</v>
          </cell>
          <cell r="C18" t="str">
            <v xml:space="preserve">      Coal conveyor scales-storage coal pile </v>
          </cell>
          <cell r="D18" t="str">
            <v>84</v>
          </cell>
        </row>
        <row r="19">
          <cell r="B19" t="str">
            <v>01A16</v>
          </cell>
          <cell r="C19" t="str">
            <v xml:space="preserve">      Bunker feeder coal scales </v>
          </cell>
          <cell r="D19" t="str">
            <v>85</v>
          </cell>
        </row>
        <row r="20">
          <cell r="B20" t="str">
            <v>01A17</v>
          </cell>
          <cell r="C20" t="str">
            <v xml:space="preserve">      Bunker fires </v>
          </cell>
          <cell r="D20" t="str">
            <v>90</v>
          </cell>
        </row>
        <row r="21">
          <cell r="B21" t="str">
            <v>01A18</v>
          </cell>
          <cell r="C21" t="str">
            <v xml:space="preserve">      Bunker flow problems</v>
          </cell>
          <cell r="D21" t="str">
            <v>95</v>
          </cell>
        </row>
        <row r="22">
          <cell r="B22" t="str">
            <v>01A19</v>
          </cell>
          <cell r="C22" t="str">
            <v xml:space="preserve">      Bunker gates </v>
          </cell>
          <cell r="D22" t="str">
            <v>100</v>
          </cell>
        </row>
        <row r="23">
          <cell r="B23" t="str">
            <v>01A20</v>
          </cell>
          <cell r="C23" t="str">
            <v xml:space="preserve">      Bunker structures </v>
          </cell>
          <cell r="D23" t="str">
            <v>105</v>
          </cell>
        </row>
        <row r="24">
          <cell r="B24" t="str">
            <v>01A21</v>
          </cell>
          <cell r="C24" t="str">
            <v xml:space="preserve">      Coal drying system (see additional codes 0125-0127)</v>
          </cell>
          <cell r="D24" t="str">
            <v>106</v>
          </cell>
        </row>
        <row r="25">
          <cell r="B25" t="str">
            <v>01A22</v>
          </cell>
          <cell r="C25" t="str">
            <v xml:space="preserve">      Screen (prior to bunkers)</v>
          </cell>
          <cell r="D25" t="str">
            <v>107</v>
          </cell>
        </row>
        <row r="26">
          <cell r="B26" t="str">
            <v>01A23</v>
          </cell>
          <cell r="C26" t="str">
            <v xml:space="preserve">      Other coal fuel supply problems up through bunkers</v>
          </cell>
          <cell r="D26" t="str">
            <v>110</v>
          </cell>
        </row>
        <row r="27">
          <cell r="B27" t="str">
            <v>01A24</v>
          </cell>
          <cell r="C27" t="str">
            <v xml:space="preserve">      Coal crusher dryer hammers (see code 0106)</v>
          </cell>
          <cell r="D27" t="str">
            <v>125</v>
          </cell>
        </row>
        <row r="28">
          <cell r="B28" t="str">
            <v>01A25</v>
          </cell>
          <cell r="C28" t="str">
            <v xml:space="preserve">      Coal crusher lube oil system (see code 0106)</v>
          </cell>
          <cell r="D28" t="str">
            <v>126</v>
          </cell>
        </row>
        <row r="29">
          <cell r="B29" t="str">
            <v>01A26</v>
          </cell>
          <cell r="C29" t="str">
            <v xml:space="preserve">      Other coal crusher dryer problems (see code 0106)</v>
          </cell>
          <cell r="D29" t="str">
            <v>127</v>
          </cell>
        </row>
        <row r="30">
          <cell r="B30" t="str">
            <v>01B</v>
          </cell>
          <cell r="C30" t="str">
            <v xml:space="preserve">   Boiler Fuel Supply from Bunkers to Boiler</v>
          </cell>
        </row>
        <row r="31">
          <cell r="B31" t="str">
            <v>01B01</v>
          </cell>
          <cell r="C31" t="str">
            <v xml:space="preserve">      Pulverizer exhauster fan (for indirect firing) </v>
          </cell>
          <cell r="D31" t="str">
            <v>200</v>
          </cell>
        </row>
        <row r="32">
          <cell r="B32" t="str">
            <v>01B02</v>
          </cell>
          <cell r="C32" t="str">
            <v xml:space="preserve">      Pulverizer exhauster fan drive </v>
          </cell>
          <cell r="D32" t="str">
            <v>205</v>
          </cell>
        </row>
        <row r="33">
          <cell r="B33" t="str">
            <v>01B03</v>
          </cell>
          <cell r="C33" t="str">
            <v xml:space="preserve">      Pulverizer heater (for indirect firing) </v>
          </cell>
          <cell r="D33" t="str">
            <v>210</v>
          </cell>
        </row>
        <row r="34">
          <cell r="B34" t="str">
            <v>01B04</v>
          </cell>
          <cell r="C34" t="str">
            <v xml:space="preserve">      Pulverizer system cyclone separator </v>
          </cell>
          <cell r="D34" t="str">
            <v>220</v>
          </cell>
        </row>
        <row r="35">
          <cell r="B35" t="str">
            <v>01B05</v>
          </cell>
          <cell r="C35" t="str">
            <v xml:space="preserve">      Pulverizer bag filter </v>
          </cell>
          <cell r="D35" t="str">
            <v>230</v>
          </cell>
        </row>
        <row r="36">
          <cell r="B36" t="str">
            <v>01B06</v>
          </cell>
          <cell r="C36" t="str">
            <v xml:space="preserve">      Pulverized coal bin </v>
          </cell>
          <cell r="D36" t="str">
            <v>240</v>
          </cell>
        </row>
        <row r="37">
          <cell r="B37" t="str">
            <v>01B07</v>
          </cell>
          <cell r="C37" t="str">
            <v xml:space="preserve">      Pulverizer feeders </v>
          </cell>
          <cell r="D37" t="str">
            <v>250</v>
          </cell>
        </row>
        <row r="38">
          <cell r="B38" t="str">
            <v>01B08</v>
          </cell>
          <cell r="C38" t="str">
            <v xml:space="preserve">      Pulverizer feeder motor </v>
          </cell>
          <cell r="D38" t="str">
            <v>253</v>
          </cell>
        </row>
        <row r="39">
          <cell r="B39" t="str">
            <v>01B09</v>
          </cell>
          <cell r="C39" t="str">
            <v xml:space="preserve">      Pulverizer feeder coal scales </v>
          </cell>
          <cell r="D39" t="str">
            <v>255</v>
          </cell>
        </row>
        <row r="40">
          <cell r="B40" t="str">
            <v>01B10</v>
          </cell>
          <cell r="C40" t="str">
            <v xml:space="preserve">      Primary air fan </v>
          </cell>
          <cell r="D40" t="str">
            <v>260</v>
          </cell>
        </row>
        <row r="41">
          <cell r="B41" t="str">
            <v>01B11</v>
          </cell>
          <cell r="C41" t="str">
            <v xml:space="preserve">      Primary air fan lube oil system</v>
          </cell>
          <cell r="D41" t="str">
            <v>262</v>
          </cell>
        </row>
        <row r="42">
          <cell r="B42" t="str">
            <v>01B12</v>
          </cell>
          <cell r="C42" t="str">
            <v xml:space="preserve">      Primary air fan drives </v>
          </cell>
          <cell r="D42" t="str">
            <v>263</v>
          </cell>
        </row>
        <row r="43">
          <cell r="B43" t="str">
            <v>01B13</v>
          </cell>
          <cell r="C43" t="str">
            <v xml:space="preserve">      Other primary air fan problems</v>
          </cell>
          <cell r="D43" t="str">
            <v>264</v>
          </cell>
        </row>
        <row r="44">
          <cell r="B44" t="str">
            <v>01B14</v>
          </cell>
          <cell r="C44" t="str">
            <v xml:space="preserve">      Primary air heater </v>
          </cell>
          <cell r="D44" t="str">
            <v>265</v>
          </cell>
        </row>
        <row r="45">
          <cell r="B45" t="str">
            <v>01B15</v>
          </cell>
          <cell r="C45" t="str">
            <v xml:space="preserve">      Primary air heater fouling</v>
          </cell>
          <cell r="D45" t="str">
            <v>266</v>
          </cell>
        </row>
        <row r="46">
          <cell r="B46" t="str">
            <v>01B16</v>
          </cell>
          <cell r="C46" t="str">
            <v xml:space="preserve">      Primary air flow instrumentation</v>
          </cell>
          <cell r="D46" t="str">
            <v>267</v>
          </cell>
        </row>
        <row r="47">
          <cell r="B47" t="str">
            <v>01B17</v>
          </cell>
          <cell r="C47" t="str">
            <v xml:space="preserve">      Primary air duct and dampers </v>
          </cell>
          <cell r="D47" t="str">
            <v>270</v>
          </cell>
        </row>
        <row r="48">
          <cell r="B48" t="str">
            <v>01B19</v>
          </cell>
          <cell r="C48" t="str">
            <v xml:space="preserve">      Pulverizer reduced capacity due to wear </v>
          </cell>
          <cell r="D48" t="str">
            <v>290</v>
          </cell>
        </row>
        <row r="49">
          <cell r="B49" t="str">
            <v>01B20</v>
          </cell>
          <cell r="C49" t="str">
            <v xml:space="preserve">      Pulverizer motors and drives </v>
          </cell>
          <cell r="D49" t="str">
            <v>300</v>
          </cell>
        </row>
        <row r="50">
          <cell r="B50" t="str">
            <v>01B21</v>
          </cell>
          <cell r="C50" t="str">
            <v xml:space="preserve">      Pulverizer mills </v>
          </cell>
          <cell r="D50" t="str">
            <v>310</v>
          </cell>
        </row>
        <row r="51">
          <cell r="B51" t="str">
            <v>01B22</v>
          </cell>
          <cell r="C51" t="str">
            <v xml:space="preserve">      Pulverizer mill classifiers</v>
          </cell>
          <cell r="D51" t="str">
            <v>312</v>
          </cell>
        </row>
        <row r="52">
          <cell r="B52" t="str">
            <v>01B23</v>
          </cell>
          <cell r="C52" t="str">
            <v xml:space="preserve">      Pulverizer mill trunnion seals</v>
          </cell>
          <cell r="D52" t="str">
            <v>313</v>
          </cell>
        </row>
        <row r="53">
          <cell r="B53" t="str">
            <v>01B24</v>
          </cell>
          <cell r="C53" t="str">
            <v xml:space="preserve">      Pulverizer mill ball charger hopper (ball mills only)</v>
          </cell>
          <cell r="D53" t="str">
            <v>314</v>
          </cell>
        </row>
        <row r="54">
          <cell r="B54" t="str">
            <v>01B25</v>
          </cell>
          <cell r="C54" t="str">
            <v xml:space="preserve">      Pulverizer mill coal level controls</v>
          </cell>
          <cell r="D54" t="str">
            <v>315</v>
          </cell>
        </row>
        <row r="55">
          <cell r="B55" t="str">
            <v>01B26</v>
          </cell>
          <cell r="C55" t="str">
            <v xml:space="preserve">      Foreign object in mill </v>
          </cell>
          <cell r="D55" t="str">
            <v>320</v>
          </cell>
        </row>
        <row r="56">
          <cell r="B56" t="str">
            <v>01B27</v>
          </cell>
          <cell r="C56" t="str">
            <v xml:space="preserve">      Pulverizer skidding </v>
          </cell>
          <cell r="D56" t="str">
            <v>325</v>
          </cell>
        </row>
        <row r="57">
          <cell r="B57" t="str">
            <v>01B28</v>
          </cell>
          <cell r="C57" t="str">
            <v xml:space="preserve">      Pulverizer coal leak (pulverizers only)</v>
          </cell>
          <cell r="D57" t="str">
            <v>330</v>
          </cell>
        </row>
        <row r="58">
          <cell r="B58" t="str">
            <v>01B29</v>
          </cell>
          <cell r="C58" t="str">
            <v xml:space="preserve">      Pulverizer system coal leaks (other than pulverizers)</v>
          </cell>
          <cell r="D58" t="str">
            <v>331</v>
          </cell>
        </row>
        <row r="59">
          <cell r="B59" t="str">
            <v>01B30</v>
          </cell>
          <cell r="C59" t="str">
            <v xml:space="preserve">      Pulverizer lube oil system </v>
          </cell>
          <cell r="D59" t="str">
            <v>335</v>
          </cell>
        </row>
        <row r="60">
          <cell r="B60" t="str">
            <v>01B32</v>
          </cell>
          <cell r="C60" t="str">
            <v xml:space="preserve">      Other pulverizer problems </v>
          </cell>
          <cell r="D60" t="str">
            <v>340</v>
          </cell>
        </row>
        <row r="61">
          <cell r="B61" t="str">
            <v>01B33</v>
          </cell>
          <cell r="C61" t="str">
            <v xml:space="preserve">      Pulverizer inspection</v>
          </cell>
          <cell r="D61" t="str">
            <v>344</v>
          </cell>
        </row>
        <row r="62">
          <cell r="B62" t="str">
            <v>01B34</v>
          </cell>
          <cell r="C62" t="str">
            <v xml:space="preserve">      Pulverizer overhaul </v>
          </cell>
          <cell r="D62" t="str">
            <v>345</v>
          </cell>
        </row>
        <row r="63">
          <cell r="B63" t="str">
            <v>01B36</v>
          </cell>
          <cell r="C63" t="str">
            <v xml:space="preserve">      Burners </v>
          </cell>
          <cell r="D63" t="str">
            <v>360</v>
          </cell>
        </row>
        <row r="64">
          <cell r="B64" t="str">
            <v>01B37</v>
          </cell>
          <cell r="C64" t="str">
            <v xml:space="preserve">      Burner orfices</v>
          </cell>
          <cell r="D64" t="str">
            <v>361</v>
          </cell>
        </row>
        <row r="65">
          <cell r="B65" t="str">
            <v>01B38</v>
          </cell>
          <cell r="C65" t="str">
            <v xml:space="preserve">      Burner instruments and controls (except light-off) </v>
          </cell>
          <cell r="D65" t="str">
            <v>370</v>
          </cell>
        </row>
        <row r="66">
          <cell r="B66" t="str">
            <v>01B39</v>
          </cell>
          <cell r="C66" t="str">
            <v xml:space="preserve">      Light-off (igniter) systems (including fuel supply) </v>
          </cell>
          <cell r="D66" t="str">
            <v>380</v>
          </cell>
        </row>
        <row r="67">
          <cell r="B67" t="str">
            <v>01B40</v>
          </cell>
          <cell r="C67" t="str">
            <v xml:space="preserve">      Igniters </v>
          </cell>
          <cell r="D67" t="str">
            <v>385</v>
          </cell>
        </row>
        <row r="68">
          <cell r="B68" t="str">
            <v>01B42</v>
          </cell>
          <cell r="C68" t="str">
            <v xml:space="preserve">      Burner wind box fires </v>
          </cell>
          <cell r="D68" t="str">
            <v>400</v>
          </cell>
        </row>
        <row r="69">
          <cell r="B69" t="str">
            <v>01B43</v>
          </cell>
          <cell r="C69" t="str">
            <v xml:space="preserve">      Other burner problems  </v>
          </cell>
          <cell r="D69" t="str">
            <v>410</v>
          </cell>
        </row>
        <row r="70">
          <cell r="B70" t="str">
            <v>01B45</v>
          </cell>
          <cell r="C70" t="str">
            <v xml:space="preserve">      Cyclone crusher </v>
          </cell>
          <cell r="D70" t="str">
            <v>420</v>
          </cell>
        </row>
        <row r="71">
          <cell r="B71" t="str">
            <v>01B46</v>
          </cell>
          <cell r="C71" t="str">
            <v xml:space="preserve">      Cyclone dampers</v>
          </cell>
          <cell r="D71" t="str">
            <v>425</v>
          </cell>
        </row>
        <row r="72">
          <cell r="B72" t="str">
            <v>01B47</v>
          </cell>
          <cell r="C72" t="str">
            <v xml:space="preserve">      Cyclone air ducts</v>
          </cell>
          <cell r="D72" t="str">
            <v>426</v>
          </cell>
        </row>
        <row r="73">
          <cell r="B73" t="str">
            <v>01B48</v>
          </cell>
          <cell r="C73" t="str">
            <v xml:space="preserve">      Cyclone furnace </v>
          </cell>
          <cell r="D73" t="str">
            <v>430</v>
          </cell>
        </row>
        <row r="74">
          <cell r="B74" t="str">
            <v>01B49</v>
          </cell>
          <cell r="C74" t="str">
            <v xml:space="preserve">      Other cyclone problems</v>
          </cell>
          <cell r="D74" t="str">
            <v>435</v>
          </cell>
        </row>
        <row r="75">
          <cell r="B75" t="str">
            <v>01B51</v>
          </cell>
          <cell r="C75" t="str">
            <v xml:space="preserve">      Fuel oil pumps (general) </v>
          </cell>
          <cell r="D75" t="str">
            <v>440</v>
          </cell>
        </row>
        <row r="76">
          <cell r="B76" t="str">
            <v>01B52</v>
          </cell>
          <cell r="C76" t="str">
            <v xml:space="preserve">      Fuel oil pumps (burner supply) </v>
          </cell>
          <cell r="D76" t="str">
            <v>441</v>
          </cell>
        </row>
        <row r="77">
          <cell r="B77" t="str">
            <v>01B53</v>
          </cell>
          <cell r="C77" t="str">
            <v xml:space="preserve">      Fuel oil pumps (forwarding/transfer) </v>
          </cell>
          <cell r="D77" t="str">
            <v>442</v>
          </cell>
        </row>
        <row r="78">
          <cell r="B78" t="str">
            <v>01B54</v>
          </cell>
          <cell r="C78" t="str">
            <v xml:space="preserve">      Fuel oil (burner supply) pump drives </v>
          </cell>
          <cell r="D78" t="str">
            <v>443</v>
          </cell>
        </row>
        <row r="79">
          <cell r="B79" t="str">
            <v>01B56</v>
          </cell>
          <cell r="C79" t="str">
            <v xml:space="preserve">      Fuel oil heaters </v>
          </cell>
          <cell r="D79" t="str">
            <v>450</v>
          </cell>
        </row>
        <row r="80">
          <cell r="B80" t="str">
            <v>01B57</v>
          </cell>
          <cell r="C80" t="str">
            <v xml:space="preserve">      Fuel oil atomizers </v>
          </cell>
          <cell r="D80" t="str">
            <v>460</v>
          </cell>
        </row>
        <row r="81">
          <cell r="B81" t="str">
            <v>01B58</v>
          </cell>
          <cell r="C81" t="str">
            <v xml:space="preserve">      Oil and gas fires </v>
          </cell>
          <cell r="D81" t="str">
            <v>470</v>
          </cell>
        </row>
        <row r="82">
          <cell r="B82" t="str">
            <v>01B59</v>
          </cell>
          <cell r="C82" t="str">
            <v xml:space="preserve">      Other oil and gas fuel supply problems (see codes 0360-0410 for burner problems)  </v>
          </cell>
          <cell r="D82" t="str">
            <v>480</v>
          </cell>
        </row>
        <row r="83">
          <cell r="B83" t="str">
            <v>01C</v>
          </cell>
          <cell r="C83" t="str">
            <v xml:space="preserve">   Boiler Piping System</v>
          </cell>
        </row>
        <row r="84">
          <cell r="B84" t="str">
            <v>01C01</v>
          </cell>
          <cell r="C84" t="str">
            <v xml:space="preserve">      Main steam piping up to turbine stop valves </v>
          </cell>
          <cell r="D84" t="str">
            <v>500</v>
          </cell>
        </row>
        <row r="85">
          <cell r="B85" t="str">
            <v>01C02</v>
          </cell>
          <cell r="C85" t="str">
            <v xml:space="preserve">      Main steam relief/safety valves </v>
          </cell>
          <cell r="D85" t="str">
            <v>510</v>
          </cell>
        </row>
        <row r="86">
          <cell r="B86" t="str">
            <v>01C03</v>
          </cell>
          <cell r="C86" t="str">
            <v xml:space="preserve">      Other main steam valves (including vent and drain valves but not including the turbine stop valves) </v>
          </cell>
          <cell r="D86" t="str">
            <v>520</v>
          </cell>
        </row>
        <row r="87">
          <cell r="B87" t="str">
            <v>01C04</v>
          </cell>
          <cell r="C87" t="str">
            <v xml:space="preserve">      Other main steam system problems</v>
          </cell>
          <cell r="D87" t="str">
            <v>530</v>
          </cell>
        </row>
        <row r="88">
          <cell r="B88" t="str">
            <v>01C05</v>
          </cell>
          <cell r="C88" t="str">
            <v xml:space="preserve">      Reheat steam piping up to turbine stop valves </v>
          </cell>
          <cell r="D88" t="str">
            <v>540</v>
          </cell>
        </row>
        <row r="89">
          <cell r="B89" t="str">
            <v>01C06</v>
          </cell>
          <cell r="C89" t="str">
            <v xml:space="preserve">      Reheat steam relief/safety valves </v>
          </cell>
          <cell r="D89" t="str">
            <v>550</v>
          </cell>
        </row>
        <row r="90">
          <cell r="B90" t="str">
            <v>01C07</v>
          </cell>
          <cell r="C90" t="str">
            <v xml:space="preserve">      Other reheat steam valves (not including turbine stop or intercept valves)</v>
          </cell>
          <cell r="D90" t="str">
            <v>560</v>
          </cell>
        </row>
        <row r="91">
          <cell r="B91" t="str">
            <v>01C08</v>
          </cell>
          <cell r="C91" t="str">
            <v xml:space="preserve">      Other reheat steam problems </v>
          </cell>
          <cell r="D91" t="str">
            <v>570</v>
          </cell>
        </row>
        <row r="92">
          <cell r="B92" t="str">
            <v>01C09</v>
          </cell>
          <cell r="C92" t="str">
            <v xml:space="preserve">      Desuperheater/attemperator piping </v>
          </cell>
          <cell r="D92" t="str">
            <v>580</v>
          </cell>
        </row>
        <row r="93">
          <cell r="B93" t="str">
            <v>01C10</v>
          </cell>
          <cell r="C93" t="str">
            <v xml:space="preserve">      Desuperheater/attemperator valves </v>
          </cell>
          <cell r="D93" t="str">
            <v>590</v>
          </cell>
        </row>
        <row r="94">
          <cell r="B94" t="str">
            <v>01C11</v>
          </cell>
          <cell r="C94" t="str">
            <v xml:space="preserve">      Desuperheater/attemperator spray nozzles </v>
          </cell>
          <cell r="D94" t="str">
            <v>600</v>
          </cell>
        </row>
        <row r="95">
          <cell r="B95" t="str">
            <v>01C12</v>
          </cell>
          <cell r="C95" t="str">
            <v xml:space="preserve">      Desuperheater/attemperator drums </v>
          </cell>
          <cell r="D95" t="str">
            <v>610</v>
          </cell>
        </row>
        <row r="96">
          <cell r="B96" t="str">
            <v>01C13</v>
          </cell>
          <cell r="C96" t="str">
            <v xml:space="preserve">      Other desuperheater/attemperator problems  </v>
          </cell>
          <cell r="D96" t="str">
            <v>620</v>
          </cell>
        </row>
        <row r="97">
          <cell r="B97" t="str">
            <v>01C14</v>
          </cell>
          <cell r="C97" t="str">
            <v xml:space="preserve">      Startup bypass system piping (including drain lines up to heaters or condenser)</v>
          </cell>
          <cell r="D97" t="str">
            <v>630</v>
          </cell>
        </row>
        <row r="98">
          <cell r="B98" t="str">
            <v>01C15</v>
          </cell>
          <cell r="C98" t="str">
            <v xml:space="preserve">      Startup bypass system valves </v>
          </cell>
          <cell r="D98" t="str">
            <v>640</v>
          </cell>
        </row>
        <row r="99">
          <cell r="B99" t="str">
            <v>01C16</v>
          </cell>
          <cell r="C99" t="str">
            <v xml:space="preserve">      Startup bypass tanks or flash tanks </v>
          </cell>
          <cell r="D99" t="str">
            <v>650</v>
          </cell>
        </row>
        <row r="100">
          <cell r="B100" t="str">
            <v>01C17</v>
          </cell>
          <cell r="C100" t="str">
            <v xml:space="preserve">      Other startup bypass system problems</v>
          </cell>
          <cell r="D100" t="str">
            <v>660</v>
          </cell>
        </row>
        <row r="101">
          <cell r="B101" t="str">
            <v>01C18</v>
          </cell>
          <cell r="C101" t="str">
            <v xml:space="preserve">      Feedwater piping downstream of feedwater regulating valve </v>
          </cell>
          <cell r="D101" t="str">
            <v>670</v>
          </cell>
        </row>
        <row r="102">
          <cell r="B102" t="str">
            <v>01C19</v>
          </cell>
          <cell r="C102" t="str">
            <v xml:space="preserve">      Feedwater valves (not feedwater regulating valve) </v>
          </cell>
          <cell r="D102" t="str">
            <v>680</v>
          </cell>
        </row>
        <row r="103">
          <cell r="B103" t="str">
            <v>01C21</v>
          </cell>
          <cell r="C103" t="str">
            <v xml:space="preserve">      Blowdown system valves </v>
          </cell>
          <cell r="D103" t="str">
            <v>700</v>
          </cell>
        </row>
        <row r="104">
          <cell r="B104" t="str">
            <v>01C22</v>
          </cell>
          <cell r="C104" t="str">
            <v xml:space="preserve">      Blowdown system piping </v>
          </cell>
          <cell r="D104" t="str">
            <v>710</v>
          </cell>
        </row>
        <row r="105">
          <cell r="B105" t="str">
            <v>01C23</v>
          </cell>
          <cell r="C105" t="str">
            <v xml:space="preserve">      Blowdown system controls </v>
          </cell>
          <cell r="D105" t="str">
            <v>720</v>
          </cell>
        </row>
        <row r="106">
          <cell r="B106" t="str">
            <v>01C24</v>
          </cell>
          <cell r="C106" t="str">
            <v xml:space="preserve">      Other blowdown system problems</v>
          </cell>
          <cell r="D106" t="str">
            <v>730</v>
          </cell>
        </row>
        <row r="107">
          <cell r="B107" t="str">
            <v>01C25</v>
          </cell>
          <cell r="C107" t="str">
            <v xml:space="preserve">      Boiler recirculation pumps </v>
          </cell>
          <cell r="D107" t="str">
            <v>740</v>
          </cell>
        </row>
        <row r="108">
          <cell r="B108" t="str">
            <v>01C26</v>
          </cell>
          <cell r="C108" t="str">
            <v xml:space="preserve">      Boiler recirculation pumps - motors </v>
          </cell>
          <cell r="D108" t="str">
            <v>741</v>
          </cell>
        </row>
        <row r="109">
          <cell r="B109" t="str">
            <v>01C27</v>
          </cell>
          <cell r="C109" t="str">
            <v xml:space="preserve">      Boiler recirculation piping </v>
          </cell>
          <cell r="D109" t="str">
            <v>750</v>
          </cell>
        </row>
        <row r="110">
          <cell r="B110" t="str">
            <v>01C28</v>
          </cell>
          <cell r="C110" t="str">
            <v xml:space="preserve">      Boiler recirculation valves </v>
          </cell>
          <cell r="D110" t="str">
            <v>760</v>
          </cell>
        </row>
        <row r="111">
          <cell r="B111" t="str">
            <v>01C29</v>
          </cell>
          <cell r="C111" t="str">
            <v xml:space="preserve">      Other boiler recirculation problems  </v>
          </cell>
          <cell r="D111" t="str">
            <v>770</v>
          </cell>
        </row>
        <row r="112">
          <cell r="B112" t="str">
            <v>01C30</v>
          </cell>
          <cell r="C112" t="str">
            <v xml:space="preserve">      Economizer piping </v>
          </cell>
          <cell r="D112" t="str">
            <v>775</v>
          </cell>
        </row>
        <row r="113">
          <cell r="B113" t="str">
            <v>01C31</v>
          </cell>
          <cell r="C113" t="str">
            <v xml:space="preserve">      Headers between tube bundles </v>
          </cell>
          <cell r="D113" t="str">
            <v>780</v>
          </cell>
        </row>
        <row r="114">
          <cell r="B114" t="str">
            <v>01C32</v>
          </cell>
          <cell r="C114" t="str">
            <v xml:space="preserve">      Headers and caps </v>
          </cell>
          <cell r="D114" t="str">
            <v>782</v>
          </cell>
        </row>
        <row r="115">
          <cell r="B115" t="str">
            <v>01C33</v>
          </cell>
          <cell r="C115" t="str">
            <v xml:space="preserve">      Pipe hangers (general) </v>
          </cell>
          <cell r="D115" t="str">
            <v>790</v>
          </cell>
        </row>
        <row r="116">
          <cell r="B116" t="str">
            <v>01C34</v>
          </cell>
          <cell r="C116" t="str">
            <v xml:space="preserve">      Other miscellaneous piping system problems  </v>
          </cell>
          <cell r="D116" t="str">
            <v>799</v>
          </cell>
        </row>
        <row r="117">
          <cell r="B117" t="str">
            <v>01D</v>
          </cell>
          <cell r="C117" t="str">
            <v xml:space="preserve">   Boiler Internals and Structures</v>
          </cell>
        </row>
        <row r="118">
          <cell r="B118" t="str">
            <v>01D01</v>
          </cell>
          <cell r="C118" t="str">
            <v xml:space="preserve">      Drums and drum internals </v>
          </cell>
          <cell r="D118" t="str">
            <v>800</v>
          </cell>
        </row>
        <row r="119">
          <cell r="B119" t="str">
            <v>01D02</v>
          </cell>
          <cell r="C119" t="str">
            <v xml:space="preserve">      Boiler supports and structures (use code 1320 for tube supports) </v>
          </cell>
          <cell r="D119" t="str">
            <v>810</v>
          </cell>
        </row>
        <row r="120">
          <cell r="B120" t="str">
            <v>01D03</v>
          </cell>
          <cell r="C120" t="str">
            <v xml:space="preserve">      Casing </v>
          </cell>
          <cell r="D120" t="str">
            <v>820</v>
          </cell>
        </row>
        <row r="121">
          <cell r="B121" t="str">
            <v>01D04</v>
          </cell>
          <cell r="C121" t="str">
            <v xml:space="preserve">      Doors </v>
          </cell>
          <cell r="D121" t="str">
            <v>830</v>
          </cell>
        </row>
        <row r="122">
          <cell r="B122" t="str">
            <v>01D05</v>
          </cell>
          <cell r="C122" t="str">
            <v xml:space="preserve">      Refractory and insulation </v>
          </cell>
          <cell r="D122" t="str">
            <v>840</v>
          </cell>
        </row>
        <row r="123">
          <cell r="B123" t="str">
            <v>01D06</v>
          </cell>
          <cell r="C123" t="str">
            <v xml:space="preserve">      Windbox expansion joints</v>
          </cell>
          <cell r="D123" t="str">
            <v>845</v>
          </cell>
        </row>
        <row r="124">
          <cell r="B124" t="str">
            <v>01D07</v>
          </cell>
          <cell r="C124" t="str">
            <v xml:space="preserve">      Other expansion joints</v>
          </cell>
          <cell r="D124" t="str">
            <v>847</v>
          </cell>
        </row>
        <row r="125">
          <cell r="B125" t="str">
            <v>01D08</v>
          </cell>
          <cell r="C125" t="str">
            <v xml:space="preserve">      Other internal or structural problems </v>
          </cell>
          <cell r="D125" t="str">
            <v>850</v>
          </cell>
        </row>
        <row r="126">
          <cell r="B126" t="str">
            <v>01D09</v>
          </cell>
          <cell r="C126" t="str">
            <v xml:space="preserve">      Drum relief/safety valves </v>
          </cell>
          <cell r="D126" t="str">
            <v>855</v>
          </cell>
        </row>
        <row r="127">
          <cell r="B127" t="str">
            <v>01D10</v>
          </cell>
          <cell r="C127" t="str">
            <v xml:space="preserve">      Tube external fins/membranes  </v>
          </cell>
          <cell r="D127" t="str">
            <v>859</v>
          </cell>
        </row>
        <row r="128">
          <cell r="B128" t="str">
            <v>01E</v>
          </cell>
          <cell r="C128" t="str">
            <v xml:space="preserve">   Slag and Ash Removal</v>
          </cell>
        </row>
        <row r="129">
          <cell r="B129" t="str">
            <v>01E01</v>
          </cell>
          <cell r="C129" t="str">
            <v xml:space="preserve">      Soot blowers - air (see code 3844 for air delivery system) </v>
          </cell>
          <cell r="D129" t="str">
            <v>860</v>
          </cell>
        </row>
        <row r="130">
          <cell r="B130" t="str">
            <v>01E02</v>
          </cell>
          <cell r="C130" t="str">
            <v xml:space="preserve">      Soot blowers - steam </v>
          </cell>
          <cell r="D130" t="str">
            <v>870</v>
          </cell>
        </row>
        <row r="131">
          <cell r="B131" t="str">
            <v>01E03</v>
          </cell>
          <cell r="C131" t="str">
            <v xml:space="preserve">      Soot blowers - sonic </v>
          </cell>
          <cell r="D131" t="str">
            <v>871</v>
          </cell>
        </row>
        <row r="132">
          <cell r="B132" t="str">
            <v>01E04</v>
          </cell>
          <cell r="C132" t="str">
            <v xml:space="preserve">      Soot blowers - water </v>
          </cell>
          <cell r="D132" t="str">
            <v>872</v>
          </cell>
        </row>
        <row r="133">
          <cell r="B133" t="str">
            <v>01E05</v>
          </cell>
          <cell r="C133" t="str">
            <v xml:space="preserve">      Soot blower drives </v>
          </cell>
          <cell r="D133" t="str">
            <v>873</v>
          </cell>
        </row>
        <row r="134">
          <cell r="B134" t="str">
            <v>01E06</v>
          </cell>
          <cell r="C134" t="str">
            <v xml:space="preserve">      Soot blower controls </v>
          </cell>
          <cell r="D134" t="str">
            <v>876</v>
          </cell>
        </row>
        <row r="135">
          <cell r="B135" t="str">
            <v>01E07</v>
          </cell>
          <cell r="C135" t="str">
            <v xml:space="preserve">      Fly ash handling (not precipitators, scrubbers, mechanical collectors, or baghouses)</v>
          </cell>
          <cell r="D135" t="str">
            <v>880</v>
          </cell>
        </row>
        <row r="136">
          <cell r="B136" t="str">
            <v>01E08</v>
          </cell>
          <cell r="C136" t="str">
            <v xml:space="preserve">      Bottom ash systems (wet or dry) </v>
          </cell>
          <cell r="D136" t="str">
            <v>890</v>
          </cell>
        </row>
        <row r="137">
          <cell r="B137" t="str">
            <v>01E09</v>
          </cell>
          <cell r="C137" t="str">
            <v xml:space="preserve">      Bottom ash hoppers (including gates)</v>
          </cell>
          <cell r="D137" t="str">
            <v>891</v>
          </cell>
        </row>
        <row r="138">
          <cell r="B138" t="str">
            <v>01E10</v>
          </cell>
          <cell r="C138" t="str">
            <v xml:space="preserve">      Bottom ash clinker grinders </v>
          </cell>
          <cell r="D138" t="str">
            <v>892</v>
          </cell>
        </row>
        <row r="139">
          <cell r="B139" t="str">
            <v>01E11</v>
          </cell>
          <cell r="C139" t="str">
            <v xml:space="preserve">      Bottom ash water pumps and motors </v>
          </cell>
          <cell r="D139" t="str">
            <v>893</v>
          </cell>
        </row>
        <row r="140">
          <cell r="B140" t="str">
            <v>01E12</v>
          </cell>
          <cell r="C140" t="str">
            <v xml:space="preserve">      Bottom ash piping and valves </v>
          </cell>
          <cell r="D140" t="str">
            <v>894</v>
          </cell>
        </row>
        <row r="141">
          <cell r="B141" t="str">
            <v>01E13</v>
          </cell>
          <cell r="C141" t="str">
            <v xml:space="preserve">      Ashpit trouble </v>
          </cell>
          <cell r="D141" t="str">
            <v>895</v>
          </cell>
        </row>
        <row r="142">
          <cell r="B142" t="str">
            <v>01E14</v>
          </cell>
          <cell r="C142" t="str">
            <v xml:space="preserve">      Bottom ash dewatering bins </v>
          </cell>
          <cell r="D142" t="str">
            <v>896</v>
          </cell>
        </row>
        <row r="143">
          <cell r="B143" t="str">
            <v>01E15</v>
          </cell>
          <cell r="C143" t="str">
            <v xml:space="preserve">      Bottom ash rotary (drag chain type) conveyor and motor </v>
          </cell>
          <cell r="D143" t="str">
            <v>897</v>
          </cell>
        </row>
        <row r="144">
          <cell r="B144" t="str">
            <v>01E16</v>
          </cell>
          <cell r="C144" t="str">
            <v xml:space="preserve">      Bottom ash pyrite hopper (pulverizer reject) system </v>
          </cell>
          <cell r="D144" t="str">
            <v>898</v>
          </cell>
        </row>
        <row r="145">
          <cell r="B145" t="str">
            <v>01E17</v>
          </cell>
          <cell r="C145" t="str">
            <v xml:space="preserve">      Bottom ash controls and instrumentation </v>
          </cell>
          <cell r="D145" t="str">
            <v>899</v>
          </cell>
        </row>
        <row r="146">
          <cell r="B146" t="str">
            <v>01E18</v>
          </cell>
          <cell r="C146" t="str">
            <v xml:space="preserve">      Slag-tap (cyclone furnace) </v>
          </cell>
          <cell r="D146" t="str">
            <v>900</v>
          </cell>
        </row>
        <row r="147">
          <cell r="B147" t="str">
            <v>01E19</v>
          </cell>
          <cell r="C147" t="str">
            <v xml:space="preserve">      Slag-tap (other than cyclone furnace) </v>
          </cell>
          <cell r="D147" t="str">
            <v>910</v>
          </cell>
        </row>
        <row r="148">
          <cell r="B148" t="str">
            <v>01E20</v>
          </cell>
          <cell r="C148" t="str">
            <v xml:space="preserve">      Other slag and ash removal problems  </v>
          </cell>
          <cell r="D148" t="str">
            <v>920</v>
          </cell>
        </row>
        <row r="149">
          <cell r="B149" t="str">
            <v>01F</v>
          </cell>
          <cell r="C149" t="str">
            <v xml:space="preserve">   Boiler Tube Leaks (use code 0859 for tube/membrane failures)  </v>
          </cell>
        </row>
        <row r="150">
          <cell r="B150" t="str">
            <v>01F01</v>
          </cell>
          <cell r="C150" t="str">
            <v xml:space="preserve">      Furnace wall </v>
          </cell>
          <cell r="D150" t="str">
            <v>1000</v>
          </cell>
        </row>
        <row r="151">
          <cell r="B151" t="str">
            <v>01F02</v>
          </cell>
          <cell r="C151" t="str">
            <v xml:space="preserve">      Generating tubes </v>
          </cell>
          <cell r="D151" t="str">
            <v>1005</v>
          </cell>
        </row>
        <row r="152">
          <cell r="B152" t="str">
            <v>01F03</v>
          </cell>
          <cell r="C152" t="str">
            <v xml:space="preserve">      Cyclone furnace (in cyclone area only) </v>
          </cell>
          <cell r="D152" t="str">
            <v>1010</v>
          </cell>
        </row>
        <row r="153">
          <cell r="B153" t="str">
            <v>01F04</v>
          </cell>
          <cell r="C153" t="str">
            <v xml:space="preserve">      Convection pass wall (water tubes only) </v>
          </cell>
          <cell r="D153" t="str">
            <v>1020</v>
          </cell>
        </row>
        <row r="154">
          <cell r="B154" t="str">
            <v>01F05</v>
          </cell>
          <cell r="C154" t="str">
            <v xml:space="preserve">      Boiler screen, wing wall, or slag screen (water tubes only) </v>
          </cell>
          <cell r="D154" t="str">
            <v>1030</v>
          </cell>
        </row>
        <row r="155">
          <cell r="B155" t="str">
            <v>01F06</v>
          </cell>
          <cell r="C155" t="str">
            <v xml:space="preserve">      Platen superheater </v>
          </cell>
          <cell r="D155" t="str">
            <v>1035</v>
          </cell>
        </row>
        <row r="156">
          <cell r="B156" t="str">
            <v>01F07</v>
          </cell>
          <cell r="C156" t="str">
            <v xml:space="preserve">      First superheater </v>
          </cell>
          <cell r="D156" t="str">
            <v>1040</v>
          </cell>
        </row>
        <row r="157">
          <cell r="B157" t="str">
            <v>01F08</v>
          </cell>
          <cell r="C157" t="str">
            <v xml:space="preserve">      Second superheater </v>
          </cell>
          <cell r="D157" t="str">
            <v>1050</v>
          </cell>
        </row>
        <row r="158">
          <cell r="B158" t="str">
            <v>01F09</v>
          </cell>
          <cell r="C158" t="str">
            <v xml:space="preserve">      External superheater link tubing </v>
          </cell>
          <cell r="D158" t="str">
            <v>1055</v>
          </cell>
        </row>
        <row r="159">
          <cell r="B159" t="str">
            <v>01F10</v>
          </cell>
          <cell r="C159" t="str">
            <v xml:space="preserve">      First reheater </v>
          </cell>
          <cell r="D159" t="str">
            <v>1060</v>
          </cell>
        </row>
        <row r="160">
          <cell r="B160" t="str">
            <v>01F11</v>
          </cell>
          <cell r="C160" t="str">
            <v xml:space="preserve">      Second reheater </v>
          </cell>
          <cell r="D160" t="str">
            <v>1070</v>
          </cell>
        </row>
        <row r="161">
          <cell r="B161" t="str">
            <v>01F12</v>
          </cell>
          <cell r="C161" t="str">
            <v xml:space="preserve">      External reheater link tubing </v>
          </cell>
          <cell r="D161" t="str">
            <v>1075</v>
          </cell>
        </row>
        <row r="162">
          <cell r="B162" t="str">
            <v>01F13</v>
          </cell>
          <cell r="C162" t="str">
            <v xml:space="preserve">      Economizer </v>
          </cell>
          <cell r="D162" t="str">
            <v>1080</v>
          </cell>
        </row>
        <row r="163">
          <cell r="B163" t="str">
            <v>01F14</v>
          </cell>
          <cell r="C163" t="str">
            <v xml:space="preserve">      Other boiler tube leaks</v>
          </cell>
          <cell r="D163" t="str">
            <v>1090</v>
          </cell>
        </row>
        <row r="164">
          <cell r="B164" t="str">
            <v>01G01</v>
          </cell>
          <cell r="C164" t="str">
            <v xml:space="preserve">      Furnace wall </v>
          </cell>
          <cell r="D164" t="str">
            <v>1100</v>
          </cell>
        </row>
        <row r="165">
          <cell r="B165" t="str">
            <v>01G02</v>
          </cell>
          <cell r="C165" t="str">
            <v xml:space="preserve">      Generating tubes </v>
          </cell>
          <cell r="D165" t="str">
            <v>1105</v>
          </cell>
        </row>
        <row r="166">
          <cell r="B166" t="str">
            <v>01G03</v>
          </cell>
          <cell r="C166" t="str">
            <v xml:space="preserve">      Cyclone furnace (in cyclone area only) </v>
          </cell>
          <cell r="D166" t="str">
            <v>1110</v>
          </cell>
        </row>
        <row r="167">
          <cell r="B167" t="str">
            <v>01G04</v>
          </cell>
          <cell r="C167" t="str">
            <v xml:space="preserve">      Convection pass wall </v>
          </cell>
          <cell r="D167" t="str">
            <v>1120</v>
          </cell>
        </row>
        <row r="168">
          <cell r="B168" t="str">
            <v>01G05</v>
          </cell>
          <cell r="C168" t="str">
            <v xml:space="preserve">      Boiler screen, wing wall, or slag screen (water tubes only) </v>
          </cell>
          <cell r="D168" t="str">
            <v>1130</v>
          </cell>
        </row>
        <row r="169">
          <cell r="B169" t="str">
            <v>01G06</v>
          </cell>
          <cell r="C169" t="str">
            <v xml:space="preserve">      First superheater </v>
          </cell>
          <cell r="D169" t="str">
            <v>1140</v>
          </cell>
        </row>
        <row r="170">
          <cell r="B170" t="str">
            <v>01G07</v>
          </cell>
          <cell r="C170" t="str">
            <v xml:space="preserve">      Second superheater </v>
          </cell>
          <cell r="D170" t="str">
            <v>1150</v>
          </cell>
        </row>
        <row r="171">
          <cell r="B171" t="str">
            <v>01G08</v>
          </cell>
          <cell r="C171" t="str">
            <v xml:space="preserve">      First reheater </v>
          </cell>
          <cell r="D171" t="str">
            <v>1160</v>
          </cell>
        </row>
        <row r="172">
          <cell r="B172" t="str">
            <v>01G09</v>
          </cell>
          <cell r="C172" t="str">
            <v xml:space="preserve">      Second reheater </v>
          </cell>
          <cell r="D172" t="str">
            <v>1170</v>
          </cell>
        </row>
        <row r="173">
          <cell r="B173" t="str">
            <v>01G10</v>
          </cell>
          <cell r="C173" t="str">
            <v xml:space="preserve">      Economizer </v>
          </cell>
          <cell r="D173" t="str">
            <v>1180</v>
          </cell>
        </row>
        <row r="174">
          <cell r="B174" t="str">
            <v>01G11</v>
          </cell>
          <cell r="C174" t="str">
            <v xml:space="preserve">      Other tube slagging or fouling</v>
          </cell>
          <cell r="D174" t="str">
            <v>1190</v>
          </cell>
        </row>
        <row r="175">
          <cell r="B175" t="str">
            <v>01G12</v>
          </cell>
          <cell r="C175" t="str">
            <v xml:space="preserve">      Operation at reduced power to avoid slagging or fouling</v>
          </cell>
          <cell r="D175" t="str">
            <v>1200</v>
          </cell>
        </row>
        <row r="176">
          <cell r="B176" t="str">
            <v>01H</v>
          </cell>
          <cell r="C176" t="str">
            <v xml:space="preserve">   Miscellaneous Boiler Tube Problems</v>
          </cell>
        </row>
        <row r="177">
          <cell r="B177" t="str">
            <v>01H01</v>
          </cell>
          <cell r="C177" t="str">
            <v xml:space="preserve">      Water side fouling </v>
          </cell>
          <cell r="D177" t="str">
            <v>1300</v>
          </cell>
        </row>
        <row r="178">
          <cell r="B178" t="str">
            <v>01H02</v>
          </cell>
          <cell r="C178" t="str">
            <v xml:space="preserve">      Fireside cleaning (which requires a full outage) Use code 1200 for cleanings that cause deratings. </v>
          </cell>
          <cell r="D178" t="str">
            <v>1305</v>
          </cell>
        </row>
        <row r="179">
          <cell r="B179" t="str">
            <v>01H03</v>
          </cell>
          <cell r="C179" t="str">
            <v xml:space="preserve">      Water side cleaning (acid cleaning) </v>
          </cell>
          <cell r="D179" t="str">
            <v>1310</v>
          </cell>
        </row>
        <row r="180">
          <cell r="B180" t="str">
            <v>01H04</v>
          </cell>
          <cell r="C180" t="str">
            <v xml:space="preserve">      Tube supports/attachments </v>
          </cell>
          <cell r="D180" t="str">
            <v>1320</v>
          </cell>
        </row>
        <row r="181">
          <cell r="B181" t="str">
            <v>01H05</v>
          </cell>
          <cell r="C181" t="str">
            <v xml:space="preserve">      Slag fall damage </v>
          </cell>
          <cell r="D181" t="str">
            <v>1330</v>
          </cell>
        </row>
        <row r="182">
          <cell r="B182" t="str">
            <v>01H06</v>
          </cell>
          <cell r="C182" t="str">
            <v xml:space="preserve">      Tube modifications (including addition and removal of tubes) </v>
          </cell>
          <cell r="D182" t="str">
            <v>1340</v>
          </cell>
        </row>
        <row r="183">
          <cell r="B183" t="str">
            <v>01H07</v>
          </cell>
          <cell r="C183" t="str">
            <v xml:space="preserve">      Other miscellaneous boiler tube problems</v>
          </cell>
          <cell r="D183" t="str">
            <v>1350</v>
          </cell>
        </row>
        <row r="184">
          <cell r="B184" t="str">
            <v>01I</v>
          </cell>
          <cell r="C184" t="str">
            <v xml:space="preserve">   Boiler Air and Gas Systems (excluding burner pipes,wind boxes,primary air,or pulverizer exhausters)</v>
          </cell>
        </row>
        <row r="185">
          <cell r="B185" t="str">
            <v>01I01</v>
          </cell>
          <cell r="C185" t="str">
            <v xml:space="preserve">      Forced draft fans </v>
          </cell>
          <cell r="D185" t="str">
            <v>1400</v>
          </cell>
        </row>
        <row r="186">
          <cell r="B186" t="str">
            <v>01I02</v>
          </cell>
          <cell r="C186" t="str">
            <v xml:space="preserve">      Forced draft fan lubrication system </v>
          </cell>
          <cell r="D186" t="str">
            <v>1407</v>
          </cell>
        </row>
        <row r="187">
          <cell r="B187" t="str">
            <v>01I03</v>
          </cell>
          <cell r="C187" t="str">
            <v xml:space="preserve">      Forced draft fan motors </v>
          </cell>
          <cell r="D187" t="str">
            <v>1410</v>
          </cell>
        </row>
        <row r="188">
          <cell r="B188" t="str">
            <v>01I04</v>
          </cell>
          <cell r="C188" t="str">
            <v xml:space="preserve">      Forced draft fan motors - variable speed </v>
          </cell>
          <cell r="D188" t="str">
            <v>1411</v>
          </cell>
        </row>
        <row r="189">
          <cell r="B189" t="str">
            <v>01I05</v>
          </cell>
          <cell r="C189" t="str">
            <v xml:space="preserve">      Forced draft fan drives (other than motor) </v>
          </cell>
          <cell r="D189" t="str">
            <v>1412</v>
          </cell>
        </row>
        <row r="190">
          <cell r="B190" t="str">
            <v>01I06</v>
          </cell>
          <cell r="C190" t="str">
            <v xml:space="preserve">      Forced draft fan controls </v>
          </cell>
          <cell r="D190" t="str">
            <v>1415</v>
          </cell>
        </row>
        <row r="191">
          <cell r="B191" t="str">
            <v>01I07</v>
          </cell>
          <cell r="C191" t="str">
            <v xml:space="preserve">      Other forced draft fan problems</v>
          </cell>
          <cell r="D191" t="str">
            <v>1420</v>
          </cell>
        </row>
        <row r="192">
          <cell r="B192" t="str">
            <v>01I08</v>
          </cell>
          <cell r="C192" t="str">
            <v xml:space="preserve">      Secondary air fans/blowers</v>
          </cell>
          <cell r="D192" t="str">
            <v>1421</v>
          </cell>
        </row>
        <row r="193">
          <cell r="B193" t="str">
            <v>01I09</v>
          </cell>
          <cell r="C193" t="str">
            <v xml:space="preserve">      Secondary air fan/blower motors - single speed</v>
          </cell>
          <cell r="D193" t="str">
            <v>1422</v>
          </cell>
        </row>
        <row r="194">
          <cell r="B194" t="str">
            <v>01I10</v>
          </cell>
          <cell r="C194" t="str">
            <v xml:space="preserve">      Secondary air fan/blower motors - variable speed</v>
          </cell>
          <cell r="D194" t="str">
            <v>1423</v>
          </cell>
        </row>
        <row r="195">
          <cell r="B195" t="str">
            <v>01I11</v>
          </cell>
          <cell r="C195" t="str">
            <v xml:space="preserve">      Secondary air fan/blower controls </v>
          </cell>
          <cell r="D195" t="str">
            <v>1424</v>
          </cell>
        </row>
        <row r="196">
          <cell r="B196" t="str">
            <v>01I12</v>
          </cell>
          <cell r="C196" t="str">
            <v xml:space="preserve">      Air supply ducts </v>
          </cell>
          <cell r="D196" t="str">
            <v>1430</v>
          </cell>
        </row>
        <row r="197">
          <cell r="B197" t="str">
            <v>01I13</v>
          </cell>
          <cell r="C197" t="str">
            <v xml:space="preserve">      Air supply duct expansion joints </v>
          </cell>
          <cell r="D197" t="str">
            <v>1432</v>
          </cell>
        </row>
        <row r="198">
          <cell r="B198" t="str">
            <v>01I14</v>
          </cell>
          <cell r="C198" t="str">
            <v xml:space="preserve">      Air supply dampers </v>
          </cell>
          <cell r="D198" t="str">
            <v>1440</v>
          </cell>
        </row>
        <row r="199">
          <cell r="B199" t="str">
            <v>01I15</v>
          </cell>
          <cell r="C199" t="str">
            <v xml:space="preserve">      Other air supply problems  </v>
          </cell>
          <cell r="D199" t="str">
            <v>1450</v>
          </cell>
        </row>
        <row r="200">
          <cell r="B200" t="str">
            <v>01I16</v>
          </cell>
          <cell r="C200" t="str">
            <v xml:space="preserve">      Induced draft fans </v>
          </cell>
          <cell r="D200" t="str">
            <v>1455</v>
          </cell>
        </row>
        <row r="201">
          <cell r="B201" t="str">
            <v>01I17</v>
          </cell>
          <cell r="C201" t="str">
            <v xml:space="preserve">      Induced draft fan lubrication systems </v>
          </cell>
          <cell r="D201" t="str">
            <v>1457</v>
          </cell>
        </row>
        <row r="202">
          <cell r="B202" t="str">
            <v>01I18</v>
          </cell>
          <cell r="C202" t="str">
            <v xml:space="preserve">      Induced draft fan fouling </v>
          </cell>
          <cell r="D202" t="str">
            <v>1460</v>
          </cell>
        </row>
        <row r="203">
          <cell r="B203" t="str">
            <v>01I19</v>
          </cell>
          <cell r="C203" t="str">
            <v xml:space="preserve">      Induced draft fan motors and drives </v>
          </cell>
          <cell r="D203" t="str">
            <v>1470</v>
          </cell>
        </row>
        <row r="204">
          <cell r="B204" t="str">
            <v>01I20</v>
          </cell>
          <cell r="C204" t="str">
            <v xml:space="preserve">      Induced draft fan motors - variable speed </v>
          </cell>
          <cell r="D204" t="str">
            <v>1471</v>
          </cell>
        </row>
        <row r="205">
          <cell r="B205" t="str">
            <v>01I21</v>
          </cell>
          <cell r="C205" t="str">
            <v xml:space="preserve">      Induced draft fan controls </v>
          </cell>
          <cell r="D205" t="str">
            <v>1475</v>
          </cell>
        </row>
        <row r="206">
          <cell r="B206" t="str">
            <v>01I22</v>
          </cell>
          <cell r="C206" t="str">
            <v xml:space="preserve">      Induced draft fan speed changer</v>
          </cell>
          <cell r="D206" t="str">
            <v>1476</v>
          </cell>
        </row>
        <row r="207">
          <cell r="B207" t="str">
            <v>01I23</v>
          </cell>
          <cell r="C207" t="str">
            <v xml:space="preserve">      Other induced draft fan problems</v>
          </cell>
          <cell r="D207" t="str">
            <v>1480</v>
          </cell>
        </row>
        <row r="208">
          <cell r="B208" t="str">
            <v>01I24</v>
          </cell>
          <cell r="C208" t="str">
            <v xml:space="preserve">      Air heater (tubular) </v>
          </cell>
          <cell r="D208" t="str">
            <v>1487</v>
          </cell>
        </row>
        <row r="209">
          <cell r="B209" t="str">
            <v>01I25</v>
          </cell>
          <cell r="C209" t="str">
            <v xml:space="preserve">      Air heater (regenerative)</v>
          </cell>
          <cell r="D209" t="str">
            <v>1488</v>
          </cell>
        </row>
        <row r="210">
          <cell r="B210" t="str">
            <v>01I26</v>
          </cell>
          <cell r="C210" t="str">
            <v xml:space="preserve">      Air heater (heat pipe, plate-type) </v>
          </cell>
          <cell r="D210" t="str">
            <v>1489</v>
          </cell>
        </row>
        <row r="211">
          <cell r="B211" t="str">
            <v>01I27</v>
          </cell>
          <cell r="C211" t="str">
            <v xml:space="preserve">      Air heater fouling (tubular) </v>
          </cell>
          <cell r="D211" t="str">
            <v>1492</v>
          </cell>
        </row>
        <row r="212">
          <cell r="B212" t="str">
            <v>01I28</v>
          </cell>
          <cell r="C212" t="str">
            <v xml:space="preserve">      Air heater fouling (regenerative)</v>
          </cell>
          <cell r="D212" t="str">
            <v>1493</v>
          </cell>
        </row>
        <row r="213">
          <cell r="B213" t="str">
            <v>01I29</v>
          </cell>
          <cell r="C213" t="str">
            <v xml:space="preserve">      Other air heater fouling (heat pipe, plate-type)</v>
          </cell>
          <cell r="D213" t="str">
            <v>1495</v>
          </cell>
        </row>
        <row r="214">
          <cell r="B214" t="str">
            <v>01I30</v>
          </cell>
          <cell r="C214" t="str">
            <v xml:space="preserve">      Air heater soot blowers </v>
          </cell>
          <cell r="D214" t="str">
            <v>1500</v>
          </cell>
        </row>
        <row r="215">
          <cell r="B215" t="str">
            <v>01I31</v>
          </cell>
          <cell r="C215" t="str">
            <v xml:space="preserve">      Flue gas ducts (except recirculation) </v>
          </cell>
          <cell r="D215" t="str">
            <v>1510</v>
          </cell>
        </row>
        <row r="216">
          <cell r="B216" t="str">
            <v>01I32</v>
          </cell>
          <cell r="C216" t="str">
            <v xml:space="preserve">      Flue gas expansion joints </v>
          </cell>
          <cell r="D216" t="str">
            <v>1512</v>
          </cell>
        </row>
        <row r="217">
          <cell r="B217" t="str">
            <v>01I33</v>
          </cell>
          <cell r="C217" t="str">
            <v xml:space="preserve">      Flue gas dampers (except recirculation) </v>
          </cell>
          <cell r="D217" t="str">
            <v>1520</v>
          </cell>
        </row>
        <row r="218">
          <cell r="B218" t="str">
            <v>01I34</v>
          </cell>
          <cell r="C218" t="str">
            <v xml:space="preserve">      Other flue gas problems</v>
          </cell>
          <cell r="D218" t="str">
            <v>1530</v>
          </cell>
        </row>
        <row r="219">
          <cell r="B219" t="str">
            <v>01I35</v>
          </cell>
          <cell r="C219" t="str">
            <v xml:space="preserve">      Flue gas recirculating fan </v>
          </cell>
          <cell r="D219" t="str">
            <v>1535</v>
          </cell>
        </row>
        <row r="220">
          <cell r="B220" t="str">
            <v>01I36</v>
          </cell>
          <cell r="C220" t="str">
            <v xml:space="preserve">      Flue gas recirculating fan lubrication systems </v>
          </cell>
          <cell r="D220" t="str">
            <v>1537</v>
          </cell>
        </row>
        <row r="221">
          <cell r="B221" t="str">
            <v>01I37</v>
          </cell>
          <cell r="C221" t="str">
            <v xml:space="preserve">      Flue gas recirculation fan fouling </v>
          </cell>
          <cell r="D221" t="str">
            <v>1540</v>
          </cell>
        </row>
        <row r="222">
          <cell r="B222" t="str">
            <v>01I38</v>
          </cell>
          <cell r="C222" t="str">
            <v xml:space="preserve">      Flue gas recirculation fan motors </v>
          </cell>
          <cell r="D222" t="str">
            <v>1550</v>
          </cell>
        </row>
        <row r="223">
          <cell r="B223" t="str">
            <v>01I39</v>
          </cell>
          <cell r="C223" t="str">
            <v xml:space="preserve">      Flue gas recirculation fan controls </v>
          </cell>
          <cell r="D223" t="str">
            <v>1555</v>
          </cell>
        </row>
        <row r="224">
          <cell r="B224" t="str">
            <v>01I40</v>
          </cell>
          <cell r="C224" t="str">
            <v xml:space="preserve">      Other flue gas recirculation fan problems </v>
          </cell>
          <cell r="D224" t="str">
            <v>1560</v>
          </cell>
        </row>
        <row r="225">
          <cell r="B225" t="str">
            <v>01I41</v>
          </cell>
          <cell r="C225" t="str">
            <v xml:space="preserve">      Flue gas recirculation ducts </v>
          </cell>
          <cell r="D225" t="str">
            <v>1570</v>
          </cell>
        </row>
        <row r="226">
          <cell r="B226" t="str">
            <v>01I42</v>
          </cell>
          <cell r="C226" t="str">
            <v xml:space="preserve">      Flue gas recirculation duct expansion joints </v>
          </cell>
          <cell r="D226" t="str">
            <v>1572</v>
          </cell>
        </row>
        <row r="227">
          <cell r="B227" t="str">
            <v>01I43</v>
          </cell>
          <cell r="C227" t="str">
            <v xml:space="preserve">      Flue gas recirculation dampers  </v>
          </cell>
          <cell r="D227" t="str">
            <v>1580</v>
          </cell>
        </row>
        <row r="228">
          <cell r="B228" t="str">
            <v>01I44</v>
          </cell>
          <cell r="C228" t="str">
            <v xml:space="preserve">      Stacks (use code 8430 for stack problems due to pollution control equipment)</v>
          </cell>
          <cell r="D228" t="str">
            <v>1590</v>
          </cell>
        </row>
        <row r="229">
          <cell r="B229" t="str">
            <v>01I45</v>
          </cell>
          <cell r="C229" t="str">
            <v xml:space="preserve">      Other miscellaneous boiler air and gas system problems</v>
          </cell>
          <cell r="D229" t="str">
            <v>1599</v>
          </cell>
        </row>
        <row r="230">
          <cell r="B230" t="str">
            <v>01K</v>
          </cell>
          <cell r="C230" t="str">
            <v xml:space="preserve">   Boiler Overhaul and Inspections  </v>
          </cell>
        </row>
        <row r="231">
          <cell r="B231" t="str">
            <v>01K01</v>
          </cell>
          <cell r="C231" t="str">
            <v xml:space="preserve">      Major boiler overhaul (720 hours or more)  (use for non-specific overhaul only; see      page B-1) </v>
          </cell>
          <cell r="D231" t="str">
            <v>1800</v>
          </cell>
        </row>
        <row r="232">
          <cell r="B232" t="str">
            <v>01K02</v>
          </cell>
          <cell r="C232" t="str">
            <v xml:space="preserve">      Minor boiler overhaul (less than 720 hours) (use for non-specific overhaul only; see     page B-1) </v>
          </cell>
          <cell r="D232" t="str">
            <v>1801</v>
          </cell>
        </row>
        <row r="233">
          <cell r="B233" t="str">
            <v>01K03</v>
          </cell>
          <cell r="C233" t="str">
            <v xml:space="preserve">      Boiler inspections </v>
          </cell>
          <cell r="D233" t="str">
            <v>1810</v>
          </cell>
        </row>
        <row r="234">
          <cell r="B234" t="str">
            <v>01K04</v>
          </cell>
          <cell r="C234" t="str">
            <v xml:space="preserve">      Chemical cleaning/steam blows  </v>
          </cell>
          <cell r="D234" t="str">
            <v>1820</v>
          </cell>
        </row>
        <row r="235">
          <cell r="B235" t="str">
            <v>01L</v>
          </cell>
          <cell r="C235" t="str">
            <v xml:space="preserve">   Boiler Water Condition</v>
          </cell>
        </row>
        <row r="236">
          <cell r="B236" t="str">
            <v>01L01</v>
          </cell>
          <cell r="C236" t="str">
            <v xml:space="preserve">      Boiler water condition (not feedwater water quality)  </v>
          </cell>
          <cell r="D236" t="str">
            <v>1850</v>
          </cell>
        </row>
        <row r="237">
          <cell r="B237" t="str">
            <v>01M</v>
          </cell>
          <cell r="C237" t="str">
            <v xml:space="preserve">   Boiler Design Limitations</v>
          </cell>
        </row>
        <row r="238">
          <cell r="B238" t="str">
            <v>01M01</v>
          </cell>
          <cell r="C238" t="str">
            <v xml:space="preserve">      Improper balance between tube sections not due to fouling or plugging </v>
          </cell>
          <cell r="D238" t="str">
            <v>1900</v>
          </cell>
        </row>
        <row r="239">
          <cell r="B239" t="str">
            <v>01M02</v>
          </cell>
          <cell r="C239" t="str">
            <v xml:space="preserve">      Inadequate air not due to equipment problems</v>
          </cell>
          <cell r="D239" t="str">
            <v>1910</v>
          </cell>
        </row>
        <row r="240">
          <cell r="B240" t="str">
            <v>01N</v>
          </cell>
          <cell r="C240" t="str">
            <v xml:space="preserve">   Miscellaneous (Boiler)</v>
          </cell>
        </row>
        <row r="241">
          <cell r="B241" t="str">
            <v>01N01</v>
          </cell>
          <cell r="C241" t="str">
            <v xml:space="preserve">      Boiler safety valve test</v>
          </cell>
          <cell r="D241" t="str">
            <v>1980</v>
          </cell>
        </row>
        <row r="242">
          <cell r="B242" t="str">
            <v>01N02</v>
          </cell>
          <cell r="C242" t="str">
            <v xml:space="preserve">      Boiler performance testing (use code 9999 for total unit performance testing) </v>
          </cell>
          <cell r="D242" t="str">
            <v>1990</v>
          </cell>
        </row>
        <row r="243">
          <cell r="B243" t="str">
            <v>01N03</v>
          </cell>
          <cell r="C243" t="str">
            <v xml:space="preserve">      Boiler, miscellaneous </v>
          </cell>
          <cell r="D243" t="str">
            <v>1999</v>
          </cell>
        </row>
        <row r="244">
          <cell r="B244" t="str">
            <v>02</v>
          </cell>
          <cell r="C244" t="str">
            <v>BALANCE OF PLANT</v>
          </cell>
        </row>
        <row r="245">
          <cell r="B245" t="str">
            <v>02A</v>
          </cell>
          <cell r="C245" t="str">
            <v xml:space="preserve">   Condensing System</v>
          </cell>
        </row>
        <row r="246">
          <cell r="B246" t="str">
            <v>02A01</v>
          </cell>
          <cell r="C246" t="str">
            <v xml:space="preserve">      Condenser tube leaks </v>
          </cell>
          <cell r="D246" t="str">
            <v>3110</v>
          </cell>
        </row>
        <row r="247">
          <cell r="B247" t="str">
            <v>02A02</v>
          </cell>
          <cell r="C247" t="str">
            <v xml:space="preserve">      Condenser tube fouling shell side </v>
          </cell>
          <cell r="D247" t="str">
            <v>3111</v>
          </cell>
        </row>
        <row r="248">
          <cell r="B248" t="str">
            <v>02A03</v>
          </cell>
          <cell r="C248" t="str">
            <v xml:space="preserve">      Condenser tube fouling tube side </v>
          </cell>
          <cell r="D248" t="str">
            <v>3112</v>
          </cell>
        </row>
        <row r="249">
          <cell r="B249" t="str">
            <v>02A04</v>
          </cell>
          <cell r="C249" t="str">
            <v xml:space="preserve">      Condenser tube and water box cleaning (including circulating water flow reversal) </v>
          </cell>
          <cell r="D249" t="str">
            <v>3113</v>
          </cell>
        </row>
        <row r="250">
          <cell r="B250" t="str">
            <v>02A05</v>
          </cell>
          <cell r="C250" t="str">
            <v xml:space="preserve">      Other condenser tube casing or shell and internal problems</v>
          </cell>
          <cell r="D250" t="str">
            <v>3119</v>
          </cell>
        </row>
        <row r="251">
          <cell r="B251" t="str">
            <v>02A06</v>
          </cell>
          <cell r="C251" t="str">
            <v xml:space="preserve">      Tube sheets </v>
          </cell>
          <cell r="D251" t="str">
            <v>3120</v>
          </cell>
        </row>
        <row r="252">
          <cell r="B252" t="str">
            <v>02A07</v>
          </cell>
          <cell r="C252" t="str">
            <v xml:space="preserve">      Expansion joint </v>
          </cell>
          <cell r="D252" t="str">
            <v>3121</v>
          </cell>
        </row>
        <row r="253">
          <cell r="B253" t="str">
            <v>02A08</v>
          </cell>
          <cell r="C253" t="str">
            <v xml:space="preserve">      Gaskets and seals </v>
          </cell>
          <cell r="D253" t="str">
            <v>3122</v>
          </cell>
        </row>
        <row r="254">
          <cell r="B254" t="str">
            <v>02A09</v>
          </cell>
          <cell r="C254" t="str">
            <v xml:space="preserve">      Hot well </v>
          </cell>
          <cell r="D254" t="str">
            <v>3123</v>
          </cell>
        </row>
        <row r="255">
          <cell r="B255" t="str">
            <v>02A10</v>
          </cell>
          <cell r="C255" t="str">
            <v xml:space="preserve">      Tube sheet fouling</v>
          </cell>
          <cell r="D255" t="str">
            <v>3124</v>
          </cell>
        </row>
        <row r="256">
          <cell r="B256" t="str">
            <v>02A11</v>
          </cell>
          <cell r="C256" t="str">
            <v xml:space="preserve">      Other condenser casing or shell and internal problems</v>
          </cell>
          <cell r="D256" t="str">
            <v>3129</v>
          </cell>
        </row>
        <row r="257">
          <cell r="B257" t="str">
            <v>02A12</v>
          </cell>
          <cell r="C257" t="str">
            <v xml:space="preserve">      Air ejectors </v>
          </cell>
          <cell r="D257" t="str">
            <v>3130</v>
          </cell>
        </row>
        <row r="258">
          <cell r="B258" t="str">
            <v>02A13</v>
          </cell>
          <cell r="C258" t="str">
            <v xml:space="preserve">      Air ejector piping and valves </v>
          </cell>
          <cell r="D258" t="str">
            <v>3131</v>
          </cell>
        </row>
        <row r="259">
          <cell r="B259" t="str">
            <v>02A14</v>
          </cell>
          <cell r="C259" t="str">
            <v xml:space="preserve">      Inter and after condensers </v>
          </cell>
          <cell r="D259" t="str">
            <v>3132</v>
          </cell>
        </row>
        <row r="260">
          <cell r="B260" t="str">
            <v>02A15</v>
          </cell>
          <cell r="C260" t="str">
            <v xml:space="preserve">      Vacuum pumps </v>
          </cell>
          <cell r="D260" t="str">
            <v>3133</v>
          </cell>
        </row>
        <row r="261">
          <cell r="B261" t="str">
            <v>02A16</v>
          </cell>
          <cell r="C261" t="str">
            <v xml:space="preserve">      Vacuum pump piping and valves </v>
          </cell>
          <cell r="D261" t="str">
            <v>3134</v>
          </cell>
        </row>
        <row r="262">
          <cell r="B262" t="str">
            <v>02A17</v>
          </cell>
          <cell r="C262" t="str">
            <v xml:space="preserve">      Loss of vacuum</v>
          </cell>
          <cell r="D262" t="str">
            <v>3149</v>
          </cell>
        </row>
        <row r="263">
          <cell r="B263" t="str">
            <v>02A18</v>
          </cell>
          <cell r="C263" t="str">
            <v xml:space="preserve">      Hot well level controls </v>
          </cell>
          <cell r="D263" t="str">
            <v>3150</v>
          </cell>
        </row>
        <row r="264">
          <cell r="B264" t="str">
            <v>02A19</v>
          </cell>
          <cell r="C264" t="str">
            <v xml:space="preserve">      Vacuum pump and air ejector controls </v>
          </cell>
          <cell r="D264" t="str">
            <v>3151</v>
          </cell>
        </row>
        <row r="265">
          <cell r="B265" t="str">
            <v>02A20</v>
          </cell>
          <cell r="C265" t="str">
            <v xml:space="preserve">      Other condensing system controls and instruments  </v>
          </cell>
          <cell r="D265" t="str">
            <v>3159</v>
          </cell>
        </row>
        <row r="266">
          <cell r="B266" t="str">
            <v>02A21</v>
          </cell>
          <cell r="C266" t="str">
            <v xml:space="preserve">      Condenser inspection (use code 3110 to report looking for tube leaks) </v>
          </cell>
          <cell r="D266" t="str">
            <v>3170</v>
          </cell>
        </row>
        <row r="267">
          <cell r="B267" t="str">
            <v>02A22</v>
          </cell>
          <cell r="C267" t="str">
            <v xml:space="preserve">      Major condenser overhaul </v>
          </cell>
          <cell r="D267" t="str">
            <v>3180</v>
          </cell>
        </row>
        <row r="268">
          <cell r="B268" t="str">
            <v>02A23</v>
          </cell>
          <cell r="C268" t="str">
            <v xml:space="preserve">      Water side cathodic protection </v>
          </cell>
          <cell r="D268" t="str">
            <v>3185</v>
          </cell>
        </row>
        <row r="269">
          <cell r="B269" t="str">
            <v>02A24</v>
          </cell>
          <cell r="C269" t="str">
            <v xml:space="preserve">      Air leakage (for losses not attributable to previously noted equipment related codes) </v>
          </cell>
          <cell r="D269" t="str">
            <v>3190</v>
          </cell>
        </row>
        <row r="270">
          <cell r="B270" t="str">
            <v>02A25</v>
          </cell>
          <cell r="C270" t="str">
            <v xml:space="preserve">      Other miscellaneous condensing system problems</v>
          </cell>
          <cell r="D270" t="str">
            <v>3199</v>
          </cell>
        </row>
        <row r="271">
          <cell r="B271" t="str">
            <v>02B</v>
          </cell>
          <cell r="C271" t="str">
            <v xml:space="preserve">   Circulating Water Systems</v>
          </cell>
        </row>
        <row r="272">
          <cell r="B272" t="str">
            <v>02B01</v>
          </cell>
          <cell r="C272" t="str">
            <v xml:space="preserve">      Circulating water pumps </v>
          </cell>
          <cell r="D272" t="str">
            <v>3210</v>
          </cell>
        </row>
        <row r="273">
          <cell r="B273" t="str">
            <v>02B02</v>
          </cell>
          <cell r="C273" t="str">
            <v xml:space="preserve">      Circulating water pump motors </v>
          </cell>
          <cell r="D273" t="str">
            <v>3211</v>
          </cell>
        </row>
        <row r="274">
          <cell r="B274" t="str">
            <v>02B03</v>
          </cell>
          <cell r="C274" t="str">
            <v xml:space="preserve">      Circulating water piping </v>
          </cell>
          <cell r="D274" t="str">
            <v>3220</v>
          </cell>
        </row>
        <row r="275">
          <cell r="B275" t="str">
            <v>02B04</v>
          </cell>
          <cell r="C275" t="str">
            <v xml:space="preserve">      Circulating water piping fouling</v>
          </cell>
          <cell r="D275" t="str">
            <v>3221</v>
          </cell>
        </row>
        <row r="276">
          <cell r="B276" t="str">
            <v>02B05</v>
          </cell>
          <cell r="C276" t="str">
            <v xml:space="preserve">      Circulating water valves </v>
          </cell>
          <cell r="D276" t="str">
            <v>3230</v>
          </cell>
        </row>
        <row r="277">
          <cell r="B277" t="str">
            <v>02B06</v>
          </cell>
          <cell r="C277" t="str">
            <v xml:space="preserve">      Cooling tower booster pump </v>
          </cell>
          <cell r="D277" t="str">
            <v>3235</v>
          </cell>
        </row>
        <row r="278">
          <cell r="B278" t="str">
            <v>02B07</v>
          </cell>
          <cell r="C278" t="str">
            <v xml:space="preserve">      Cooling tower booster motor </v>
          </cell>
          <cell r="D278" t="str">
            <v>3236</v>
          </cell>
        </row>
        <row r="279">
          <cell r="B279" t="str">
            <v>02B08</v>
          </cell>
          <cell r="C279" t="str">
            <v xml:space="preserve">      Cooling tower fan motors </v>
          </cell>
          <cell r="D279" t="str">
            <v>3238</v>
          </cell>
        </row>
        <row r="280">
          <cell r="B280" t="str">
            <v>02B09</v>
          </cell>
          <cell r="C280" t="str">
            <v xml:space="preserve">      Cooling tower fan motors - variable speed </v>
          </cell>
          <cell r="D280" t="str">
            <v>3239</v>
          </cell>
        </row>
        <row r="281">
          <cell r="B281" t="str">
            <v>02B10</v>
          </cell>
          <cell r="C281" t="str">
            <v xml:space="preserve">      Cooling tower fans </v>
          </cell>
          <cell r="D281" t="str">
            <v>3240</v>
          </cell>
        </row>
        <row r="282">
          <cell r="B282" t="str">
            <v>02B11</v>
          </cell>
          <cell r="C282" t="str">
            <v xml:space="preserve">      Cooling tower efficiency below design </v>
          </cell>
          <cell r="D282" t="str">
            <v>3241</v>
          </cell>
        </row>
        <row r="283">
          <cell r="B283" t="str">
            <v>02B12</v>
          </cell>
          <cell r="C283" t="str">
            <v xml:space="preserve">      Cooling tower fill damage </v>
          </cell>
          <cell r="D283" t="str">
            <v>3242</v>
          </cell>
        </row>
        <row r="284">
          <cell r="B284" t="str">
            <v>02B13</v>
          </cell>
          <cell r="C284" t="str">
            <v xml:space="preserve">      Cooling tower icing </v>
          </cell>
          <cell r="D284" t="str">
            <v>3243</v>
          </cell>
        </row>
        <row r="285">
          <cell r="B285" t="str">
            <v>02B14</v>
          </cell>
          <cell r="C285" t="str">
            <v xml:space="preserve">      Cooling tower fires </v>
          </cell>
          <cell r="D285" t="str">
            <v>3244</v>
          </cell>
        </row>
        <row r="286">
          <cell r="B286" t="str">
            <v>02B15</v>
          </cell>
          <cell r="C286" t="str">
            <v xml:space="preserve">      Other cooling tower problems </v>
          </cell>
          <cell r="D286" t="str">
            <v>3245</v>
          </cell>
        </row>
        <row r="287">
          <cell r="B287" t="str">
            <v>02B16</v>
          </cell>
          <cell r="C287" t="str">
            <v xml:space="preserve">      Cooling tower fouling</v>
          </cell>
          <cell r="D287" t="str">
            <v>3246</v>
          </cell>
        </row>
        <row r="288">
          <cell r="B288" t="str">
            <v>02B17</v>
          </cell>
          <cell r="C288" t="str">
            <v xml:space="preserve">      Circulating water system instruments and controls </v>
          </cell>
          <cell r="D288" t="str">
            <v>3250</v>
          </cell>
        </row>
        <row r="289">
          <cell r="B289" t="str">
            <v>02B18</v>
          </cell>
          <cell r="C289" t="str">
            <v xml:space="preserve">      Traveling screens </v>
          </cell>
          <cell r="D289" t="str">
            <v>3260</v>
          </cell>
        </row>
        <row r="290">
          <cell r="B290" t="str">
            <v>02B19</v>
          </cell>
          <cell r="C290" t="str">
            <v xml:space="preserve">      Traveling screen fouling</v>
          </cell>
          <cell r="D290" t="str">
            <v>3261</v>
          </cell>
        </row>
        <row r="291">
          <cell r="B291" t="str">
            <v>02B20</v>
          </cell>
          <cell r="C291" t="str">
            <v xml:space="preserve">      Intake system problems other than traveling screens </v>
          </cell>
          <cell r="D291" t="str">
            <v>3270</v>
          </cell>
        </row>
        <row r="292">
          <cell r="B292" t="str">
            <v>02B21</v>
          </cell>
          <cell r="C292" t="str">
            <v xml:space="preserve">      Intake grating fouling</v>
          </cell>
          <cell r="D292" t="str">
            <v>3271</v>
          </cell>
        </row>
        <row r="293">
          <cell r="B293" t="str">
            <v>02B22</v>
          </cell>
          <cell r="C293" t="str">
            <v xml:space="preserve">      High circulating water temperature</v>
          </cell>
          <cell r="D293" t="str">
            <v>3280</v>
          </cell>
        </row>
        <row r="294">
          <cell r="B294" t="str">
            <v>02B23</v>
          </cell>
          <cell r="C294" t="str">
            <v xml:space="preserve">      Circulating water chemistry </v>
          </cell>
          <cell r="D294" t="str">
            <v>3285</v>
          </cell>
        </row>
        <row r="295">
          <cell r="B295" t="str">
            <v>02B24</v>
          </cell>
          <cell r="C295" t="str">
            <v xml:space="preserve">      Other circulating water system problems  </v>
          </cell>
          <cell r="D295" t="str">
            <v>3299</v>
          </cell>
        </row>
        <row r="296">
          <cell r="B296" t="str">
            <v>02C</v>
          </cell>
          <cell r="C296" t="str">
            <v xml:space="preserve">   Condensate System</v>
          </cell>
        </row>
        <row r="297">
          <cell r="B297" t="str">
            <v>02C01</v>
          </cell>
          <cell r="C297" t="str">
            <v xml:space="preserve">      Condensate/hotwell pumps </v>
          </cell>
          <cell r="D297" t="str">
            <v>3310</v>
          </cell>
        </row>
        <row r="298">
          <cell r="B298" t="str">
            <v>02C02</v>
          </cell>
          <cell r="C298" t="str">
            <v xml:space="preserve">      Condensate/hotwell pump motor </v>
          </cell>
          <cell r="D298" t="str">
            <v>3311</v>
          </cell>
        </row>
        <row r="299">
          <cell r="B299" t="str">
            <v>02C03</v>
          </cell>
          <cell r="C299" t="str">
            <v xml:space="preserve">      Condensate booster pump </v>
          </cell>
          <cell r="D299" t="str">
            <v>3312</v>
          </cell>
        </row>
        <row r="300">
          <cell r="B300" t="str">
            <v>02C04</v>
          </cell>
          <cell r="C300" t="str">
            <v xml:space="preserve">      Condensate booster pump motor </v>
          </cell>
          <cell r="D300" t="str">
            <v>3313</v>
          </cell>
        </row>
        <row r="301">
          <cell r="B301" t="str">
            <v>02C05</v>
          </cell>
          <cell r="C301" t="str">
            <v xml:space="preserve">      Condensate booster pump motor - variable speed </v>
          </cell>
          <cell r="D301" t="str">
            <v>3314</v>
          </cell>
        </row>
        <row r="302">
          <cell r="B302" t="str">
            <v>02C06</v>
          </cell>
          <cell r="C302" t="str">
            <v xml:space="preserve">      Condensate booster pump drive (other than 3313 and 3314) </v>
          </cell>
          <cell r="D302" t="str">
            <v>3315</v>
          </cell>
        </row>
        <row r="303">
          <cell r="B303" t="str">
            <v>02C07</v>
          </cell>
          <cell r="C303" t="str">
            <v xml:space="preserve">      Condensate piping </v>
          </cell>
          <cell r="D303" t="str">
            <v>3320</v>
          </cell>
        </row>
        <row r="304">
          <cell r="B304" t="str">
            <v>02C08</v>
          </cell>
          <cell r="C304" t="str">
            <v xml:space="preserve">      Condensate valves</v>
          </cell>
          <cell r="D304" t="str">
            <v>3330</v>
          </cell>
        </row>
        <row r="305">
          <cell r="B305" t="str">
            <v>02C09</v>
          </cell>
          <cell r="C305" t="str">
            <v xml:space="preserve">      LP heater head leaks </v>
          </cell>
          <cell r="D305" t="str">
            <v>3339</v>
          </cell>
        </row>
        <row r="306">
          <cell r="B306" t="str">
            <v>02C10</v>
          </cell>
          <cell r="C306" t="str">
            <v xml:space="preserve">      LP heater tube leaks </v>
          </cell>
          <cell r="D306" t="str">
            <v>3340</v>
          </cell>
        </row>
        <row r="307">
          <cell r="B307" t="str">
            <v>02C11</v>
          </cell>
          <cell r="C307" t="str">
            <v xml:space="preserve">      LP heater other </v>
          </cell>
          <cell r="D307" t="str">
            <v>3341</v>
          </cell>
        </row>
        <row r="308">
          <cell r="B308" t="str">
            <v>02C12</v>
          </cell>
          <cell r="C308" t="str">
            <v xml:space="preserve">      IP heater tube leaks </v>
          </cell>
          <cell r="D308" t="str">
            <v>3342</v>
          </cell>
        </row>
        <row r="309">
          <cell r="B309" t="str">
            <v>02C13</v>
          </cell>
          <cell r="C309" t="str">
            <v xml:space="preserve">      IP heater other </v>
          </cell>
          <cell r="D309" t="str">
            <v>3343</v>
          </cell>
        </row>
        <row r="310">
          <cell r="B310" t="str">
            <v>02C14</v>
          </cell>
          <cell r="C310" t="str">
            <v xml:space="preserve">      Deaerator (including level control)</v>
          </cell>
          <cell r="D310" t="str">
            <v>3344</v>
          </cell>
        </row>
        <row r="311">
          <cell r="B311" t="str">
            <v>02C15</v>
          </cell>
          <cell r="C311" t="str">
            <v xml:space="preserve">      IP heater head leaks</v>
          </cell>
          <cell r="D311" t="str">
            <v>3345</v>
          </cell>
        </row>
        <row r="312">
          <cell r="B312" t="str">
            <v>02C16</v>
          </cell>
          <cell r="C312" t="str">
            <v xml:space="preserve">      Condensate polishing and filtering systems </v>
          </cell>
          <cell r="D312" t="str">
            <v>3350</v>
          </cell>
        </row>
        <row r="313">
          <cell r="B313" t="str">
            <v>02C17</v>
          </cell>
          <cell r="C313" t="str">
            <v xml:space="preserve">      Chemical addition systems </v>
          </cell>
          <cell r="D313" t="str">
            <v>3351</v>
          </cell>
        </row>
        <row r="314">
          <cell r="B314" t="str">
            <v>02C18</v>
          </cell>
          <cell r="C314" t="str">
            <v xml:space="preserve">      Feedwater chemistry (not specific to condenser, polishers, or chemical addition)</v>
          </cell>
          <cell r="D314" t="str">
            <v>3352</v>
          </cell>
        </row>
        <row r="315">
          <cell r="B315" t="str">
            <v>02C19</v>
          </cell>
          <cell r="C315" t="str">
            <v xml:space="preserve">      Condensate makeup and return (including storage tanks) </v>
          </cell>
          <cell r="D315" t="str">
            <v>3360</v>
          </cell>
        </row>
        <row r="316">
          <cell r="B316" t="str">
            <v>02C20</v>
          </cell>
          <cell r="C316" t="str">
            <v xml:space="preserve">      Condensate system controls and instrumentation (not hotwell level,heater level,or deaerator level controls)</v>
          </cell>
          <cell r="D316" t="str">
            <v>3370</v>
          </cell>
        </row>
        <row r="317">
          <cell r="B317" t="str">
            <v>02C21</v>
          </cell>
          <cell r="C317" t="str">
            <v xml:space="preserve">      Condensate coolers </v>
          </cell>
          <cell r="D317" t="str">
            <v>3380</v>
          </cell>
        </row>
        <row r="318">
          <cell r="B318" t="str">
            <v>02C22</v>
          </cell>
          <cell r="C318" t="str">
            <v xml:space="preserve">      Other miscellaneous condensate system problems  </v>
          </cell>
          <cell r="D318" t="str">
            <v>3399</v>
          </cell>
        </row>
        <row r="319">
          <cell r="B319" t="str">
            <v>02D</v>
          </cell>
          <cell r="C319" t="str">
            <v xml:space="preserve">   Feedwater System (excluding extraction or drain systems)  </v>
          </cell>
        </row>
        <row r="320">
          <cell r="B320" t="str">
            <v>02D01</v>
          </cell>
          <cell r="C320" t="str">
            <v xml:space="preserve">      Startup feedwater pump </v>
          </cell>
          <cell r="D320" t="str">
            <v>3401</v>
          </cell>
        </row>
        <row r="321">
          <cell r="B321" t="str">
            <v>02D02</v>
          </cell>
          <cell r="C321" t="str">
            <v xml:space="preserve">      Startup feedwater pump drives - all types </v>
          </cell>
          <cell r="D321" t="str">
            <v>3402</v>
          </cell>
        </row>
        <row r="322">
          <cell r="B322" t="str">
            <v>02D03</v>
          </cell>
          <cell r="C322" t="str">
            <v xml:space="preserve">      Feedwater pump suction screens</v>
          </cell>
          <cell r="D322" t="str">
            <v>3407</v>
          </cell>
        </row>
        <row r="323">
          <cell r="B323" t="str">
            <v>02D04</v>
          </cell>
          <cell r="C323" t="str">
            <v xml:space="preserve">      Feedwater pump drive - controls </v>
          </cell>
          <cell r="D323" t="str">
            <v>3408</v>
          </cell>
        </row>
        <row r="324">
          <cell r="B324" t="str">
            <v>02D05</v>
          </cell>
          <cell r="C324" t="str">
            <v xml:space="preserve">      Feedwater pump drive motor - variable speed </v>
          </cell>
          <cell r="D324" t="str">
            <v>3409</v>
          </cell>
        </row>
        <row r="325">
          <cell r="B325" t="str">
            <v>02D06</v>
          </cell>
          <cell r="C325" t="str">
            <v xml:space="preserve">      Feedwater pump </v>
          </cell>
          <cell r="D325" t="str">
            <v>3410</v>
          </cell>
        </row>
        <row r="326">
          <cell r="B326" t="str">
            <v>02D07</v>
          </cell>
          <cell r="C326" t="str">
            <v xml:space="preserve">      Feedwater pump drive - motor </v>
          </cell>
          <cell r="D326" t="str">
            <v>3411</v>
          </cell>
        </row>
        <row r="327">
          <cell r="B327" t="str">
            <v>02D08</v>
          </cell>
          <cell r="C327" t="str">
            <v xml:space="preserve">      Feedwater pump drive - steam turbine </v>
          </cell>
          <cell r="D327" t="str">
            <v>3412</v>
          </cell>
        </row>
        <row r="328">
          <cell r="B328" t="str">
            <v>02D09</v>
          </cell>
          <cell r="C328" t="str">
            <v xml:space="preserve">      Feedwater pump coupling and drive shaft </v>
          </cell>
          <cell r="D328" t="str">
            <v>3413</v>
          </cell>
        </row>
        <row r="329">
          <cell r="B329" t="str">
            <v>02D10</v>
          </cell>
          <cell r="C329" t="str">
            <v xml:space="preserve">      Feedwater pump local controls </v>
          </cell>
          <cell r="D329" t="str">
            <v>3414</v>
          </cell>
        </row>
        <row r="330">
          <cell r="B330" t="str">
            <v>02D11</v>
          </cell>
          <cell r="C330" t="str">
            <v xml:space="preserve">      Feedwater pump/drive lube oil system </v>
          </cell>
          <cell r="D330" t="str">
            <v>3415</v>
          </cell>
        </row>
        <row r="331">
          <cell r="B331" t="str">
            <v>02D12</v>
          </cell>
          <cell r="C331" t="str">
            <v xml:space="preserve">      Other feedwater pump problems </v>
          </cell>
          <cell r="D331" t="str">
            <v>3416</v>
          </cell>
        </row>
        <row r="332">
          <cell r="B332" t="str">
            <v>02D13</v>
          </cell>
          <cell r="C332" t="str">
            <v xml:space="preserve">      Feedwater pump drive - main shaft </v>
          </cell>
          <cell r="D332" t="str">
            <v>3417</v>
          </cell>
        </row>
        <row r="333">
          <cell r="B333" t="str">
            <v>02D14</v>
          </cell>
          <cell r="C333" t="str">
            <v xml:space="preserve">      Feedwater pump drive - other </v>
          </cell>
          <cell r="D333" t="str">
            <v>3418</v>
          </cell>
        </row>
        <row r="334">
          <cell r="B334" t="str">
            <v>02D15</v>
          </cell>
          <cell r="C334" t="str">
            <v xml:space="preserve">      Feedwater pump drive - gear </v>
          </cell>
          <cell r="D334" t="str">
            <v>3419</v>
          </cell>
        </row>
        <row r="335">
          <cell r="B335" t="str">
            <v>02D16</v>
          </cell>
          <cell r="C335" t="str">
            <v xml:space="preserve">      Feedwater piping </v>
          </cell>
          <cell r="D335" t="str">
            <v>3420</v>
          </cell>
        </row>
        <row r="336">
          <cell r="B336" t="str">
            <v>02D17</v>
          </cell>
          <cell r="C336" t="str">
            <v xml:space="preserve">      Feedwater regulating (boiler level control) valve </v>
          </cell>
          <cell r="D336" t="str">
            <v>3430</v>
          </cell>
        </row>
        <row r="337">
          <cell r="B337" t="str">
            <v>02D18</v>
          </cell>
          <cell r="C337" t="str">
            <v xml:space="preserve">      Other feedwater valves </v>
          </cell>
          <cell r="D337" t="str">
            <v>3431</v>
          </cell>
        </row>
        <row r="338">
          <cell r="B338" t="str">
            <v>02D19</v>
          </cell>
          <cell r="C338" t="str">
            <v xml:space="preserve">      HP heater head leaks </v>
          </cell>
          <cell r="D338" t="str">
            <v>3439</v>
          </cell>
        </row>
        <row r="339">
          <cell r="B339" t="str">
            <v>02D20</v>
          </cell>
          <cell r="C339" t="str">
            <v xml:space="preserve">      High pressure heater tube leaks </v>
          </cell>
          <cell r="D339" t="str">
            <v>3440</v>
          </cell>
        </row>
        <row r="340">
          <cell r="B340" t="str">
            <v>02D21</v>
          </cell>
          <cell r="C340" t="str">
            <v xml:space="preserve">      Other high pressure heater problems (see condensate system for LP and IP heater codes)</v>
          </cell>
          <cell r="D340" t="str">
            <v>3441</v>
          </cell>
        </row>
        <row r="341">
          <cell r="B341" t="str">
            <v>02D22</v>
          </cell>
          <cell r="C341" t="str">
            <v xml:space="preserve">      Other feedwater system problems</v>
          </cell>
          <cell r="D341" t="str">
            <v>3499</v>
          </cell>
        </row>
        <row r="342">
          <cell r="B342" t="str">
            <v>02E</v>
          </cell>
          <cell r="C342" t="str">
            <v xml:space="preserve">   Heater Drain Systems</v>
          </cell>
        </row>
        <row r="343">
          <cell r="B343" t="str">
            <v>02E01</v>
          </cell>
          <cell r="C343" t="str">
            <v xml:space="preserve">      Heater drain pumps </v>
          </cell>
          <cell r="D343" t="str">
            <v>3501</v>
          </cell>
        </row>
        <row r="344">
          <cell r="B344" t="str">
            <v>02E02</v>
          </cell>
          <cell r="C344" t="str">
            <v xml:space="preserve">      Heater level control </v>
          </cell>
          <cell r="D344" t="str">
            <v>3502</v>
          </cell>
        </row>
        <row r="345">
          <cell r="B345" t="str">
            <v>02E03</v>
          </cell>
          <cell r="C345" t="str">
            <v xml:space="preserve">      Heater drain piping </v>
          </cell>
          <cell r="D345" t="str">
            <v>3503</v>
          </cell>
        </row>
        <row r="346">
          <cell r="B346" t="str">
            <v>02E04</v>
          </cell>
          <cell r="C346" t="str">
            <v xml:space="preserve">      Heater drain valves </v>
          </cell>
          <cell r="D346" t="str">
            <v>3504</v>
          </cell>
        </row>
        <row r="347">
          <cell r="B347" t="str">
            <v>02E05</v>
          </cell>
          <cell r="C347" t="str">
            <v xml:space="preserve">      Heater drain pump drive </v>
          </cell>
          <cell r="D347" t="str">
            <v>3505</v>
          </cell>
        </row>
        <row r="348">
          <cell r="B348" t="str">
            <v>02E06</v>
          </cell>
          <cell r="C348" t="str">
            <v xml:space="preserve">      Other heater drain system problems</v>
          </cell>
          <cell r="D348" t="str">
            <v>3509</v>
          </cell>
        </row>
        <row r="349">
          <cell r="B349" t="str">
            <v>02F</v>
          </cell>
          <cell r="C349" t="str">
            <v xml:space="preserve">   Extraction Steam</v>
          </cell>
        </row>
        <row r="350">
          <cell r="B350" t="str">
            <v>02F01</v>
          </cell>
          <cell r="C350" t="str">
            <v xml:space="preserve">      Extraction steam piping </v>
          </cell>
          <cell r="D350" t="str">
            <v>3520</v>
          </cell>
        </row>
        <row r="351">
          <cell r="B351" t="str">
            <v>02F02</v>
          </cell>
          <cell r="C351" t="str">
            <v xml:space="preserve">      Extraction steam valves </v>
          </cell>
          <cell r="D351" t="str">
            <v>3521</v>
          </cell>
        </row>
        <row r="352">
          <cell r="B352" t="str">
            <v>02F03</v>
          </cell>
          <cell r="C352" t="str">
            <v xml:space="preserve">      Extraction steam instruments and controls </v>
          </cell>
          <cell r="D352" t="str">
            <v>3522</v>
          </cell>
        </row>
        <row r="353">
          <cell r="B353" t="str">
            <v>02F04</v>
          </cell>
          <cell r="C353" t="str">
            <v xml:space="preserve">      Other extraction steam system problems</v>
          </cell>
          <cell r="D353" t="str">
            <v>3529</v>
          </cell>
        </row>
        <row r="354">
          <cell r="B354" t="str">
            <v>02G</v>
          </cell>
          <cell r="C354" t="str">
            <v xml:space="preserve">   ELECTRICAL</v>
          </cell>
        </row>
        <row r="355">
          <cell r="B355" t="str">
            <v>02G01</v>
          </cell>
          <cell r="C355" t="str">
            <v xml:space="preserve">      Switchyard transformers and associated cooling systems </v>
          </cell>
          <cell r="D355" t="str">
            <v>3600</v>
          </cell>
        </row>
        <row r="356">
          <cell r="B356" t="str">
            <v>02G02</v>
          </cell>
          <cell r="C356" t="str">
            <v xml:space="preserve">      Switchyard circuit breakers </v>
          </cell>
          <cell r="D356" t="str">
            <v>3611</v>
          </cell>
        </row>
        <row r="357">
          <cell r="B357" t="str">
            <v>02G03</v>
          </cell>
          <cell r="C357" t="str">
            <v xml:space="preserve">      Switchyard system protection devices </v>
          </cell>
          <cell r="D357" t="str">
            <v>3612</v>
          </cell>
        </row>
        <row r="358">
          <cell r="B358" t="str">
            <v>02G04</v>
          </cell>
          <cell r="C358" t="str">
            <v xml:space="preserve">      Other switchyard equipment</v>
          </cell>
          <cell r="D358" t="str">
            <v>3619</v>
          </cell>
        </row>
        <row r="359">
          <cell r="B359" t="str">
            <v>02G05</v>
          </cell>
          <cell r="C359" t="str">
            <v xml:space="preserve">      Main transformer </v>
          </cell>
          <cell r="D359" t="str">
            <v>3620</v>
          </cell>
        </row>
        <row r="360">
          <cell r="B360" t="str">
            <v>02G06</v>
          </cell>
          <cell r="C360" t="str">
            <v xml:space="preserve">      Unit auxiliaries transformer </v>
          </cell>
          <cell r="D360" t="str">
            <v>3621</v>
          </cell>
        </row>
        <row r="361">
          <cell r="B361" t="str">
            <v>02G07</v>
          </cell>
          <cell r="C361" t="str">
            <v xml:space="preserve">      Station service startup transformer </v>
          </cell>
          <cell r="D361" t="str">
            <v>3622</v>
          </cell>
        </row>
        <row r="362">
          <cell r="B362" t="str">
            <v>02G08</v>
          </cell>
          <cell r="C362" t="str">
            <v xml:space="preserve">      Auxiliary generators  </v>
          </cell>
          <cell r="D362" t="str">
            <v>3623</v>
          </cell>
        </row>
        <row r="363">
          <cell r="B363" t="str">
            <v>02G09</v>
          </cell>
          <cell r="C363" t="str">
            <v xml:space="preserve">      Other switchyard or high voltage system problems  </v>
          </cell>
          <cell r="D363" t="str">
            <v>3629</v>
          </cell>
        </row>
        <row r="364">
          <cell r="B364" t="str">
            <v>02G10</v>
          </cell>
          <cell r="C364" t="str">
            <v xml:space="preserve">      480-volt transformers</v>
          </cell>
          <cell r="D364" t="str">
            <v>3630</v>
          </cell>
        </row>
        <row r="365">
          <cell r="B365" t="str">
            <v>02G11</v>
          </cell>
          <cell r="C365" t="str">
            <v xml:space="preserve">      480-volt circuit breakers</v>
          </cell>
          <cell r="D365" t="str">
            <v>3631</v>
          </cell>
        </row>
        <row r="366">
          <cell r="B366" t="str">
            <v>02G12</v>
          </cell>
          <cell r="C366" t="str">
            <v xml:space="preserve">      480-volt conductors and buses</v>
          </cell>
          <cell r="D366" t="str">
            <v>3632</v>
          </cell>
        </row>
        <row r="367">
          <cell r="B367" t="str">
            <v>02G13</v>
          </cell>
          <cell r="C367" t="str">
            <v xml:space="preserve">      480-volt insulators</v>
          </cell>
          <cell r="D367" t="str">
            <v>3633</v>
          </cell>
        </row>
        <row r="368">
          <cell r="B368" t="str">
            <v>02G14</v>
          </cell>
          <cell r="C368" t="str">
            <v xml:space="preserve">      480-volt protection devices</v>
          </cell>
          <cell r="D368" t="str">
            <v>3634</v>
          </cell>
        </row>
        <row r="369">
          <cell r="B369" t="str">
            <v>02G15</v>
          </cell>
          <cell r="C369" t="str">
            <v xml:space="preserve">      Other 480-volt problems</v>
          </cell>
          <cell r="D369" t="str">
            <v>3639</v>
          </cell>
        </row>
        <row r="370">
          <cell r="B370" t="str">
            <v>02G16</v>
          </cell>
          <cell r="C370" t="str">
            <v xml:space="preserve">      AC instrument power transformers </v>
          </cell>
          <cell r="D370" t="str">
            <v>3640</v>
          </cell>
        </row>
        <row r="371">
          <cell r="B371" t="str">
            <v>02G17</v>
          </cell>
          <cell r="C371" t="str">
            <v xml:space="preserve">      Circuit breakers </v>
          </cell>
          <cell r="D371" t="str">
            <v>3641</v>
          </cell>
        </row>
        <row r="372">
          <cell r="B372" t="str">
            <v>02G18</v>
          </cell>
          <cell r="C372" t="str">
            <v xml:space="preserve">      Conductors and buses </v>
          </cell>
          <cell r="D372" t="str">
            <v>3642</v>
          </cell>
        </row>
        <row r="373">
          <cell r="B373" t="str">
            <v>02G19</v>
          </cell>
          <cell r="C373" t="str">
            <v xml:space="preserve">      Inverters </v>
          </cell>
          <cell r="D373" t="str">
            <v>3643</v>
          </cell>
        </row>
        <row r="374">
          <cell r="B374" t="str">
            <v>02G20</v>
          </cell>
          <cell r="C374" t="str">
            <v xml:space="preserve">      Protection devices </v>
          </cell>
          <cell r="D374" t="str">
            <v>3644</v>
          </cell>
        </row>
        <row r="375">
          <cell r="B375" t="str">
            <v>02G21</v>
          </cell>
          <cell r="C375" t="str">
            <v xml:space="preserve">      Other AC instrument power problems </v>
          </cell>
          <cell r="D375" t="str">
            <v>3649</v>
          </cell>
        </row>
        <row r="376">
          <cell r="B376" t="str">
            <v>02G22</v>
          </cell>
          <cell r="C376" t="str">
            <v xml:space="preserve">      DC instrument power battery chargers </v>
          </cell>
          <cell r="D376" t="str">
            <v>3650</v>
          </cell>
        </row>
        <row r="377">
          <cell r="B377" t="str">
            <v>02G23</v>
          </cell>
          <cell r="C377" t="str">
            <v xml:space="preserve">      DC circuit breakers </v>
          </cell>
          <cell r="D377" t="str">
            <v>3651</v>
          </cell>
        </row>
        <row r="378">
          <cell r="B378" t="str">
            <v>02G24</v>
          </cell>
          <cell r="C378" t="str">
            <v xml:space="preserve">      DC conductors and buses </v>
          </cell>
          <cell r="D378" t="str">
            <v>3652</v>
          </cell>
        </row>
        <row r="379">
          <cell r="B379" t="str">
            <v>02G25</v>
          </cell>
          <cell r="C379" t="str">
            <v xml:space="preserve">      DC protection devices </v>
          </cell>
          <cell r="D379" t="str">
            <v>3653</v>
          </cell>
        </row>
        <row r="380">
          <cell r="B380" t="str">
            <v>02G26</v>
          </cell>
          <cell r="C380" t="str">
            <v xml:space="preserve">      Other DC power problems</v>
          </cell>
          <cell r="D380" t="str">
            <v>3659</v>
          </cell>
        </row>
        <row r="381">
          <cell r="B381" t="str">
            <v>02H</v>
          </cell>
          <cell r="C381" t="str">
            <v xml:space="preserve">   AUXILIARY SYSTEMS</v>
          </cell>
        </row>
        <row r="382">
          <cell r="B382" t="str">
            <v>02H01</v>
          </cell>
          <cell r="C382" t="str">
            <v xml:space="preserve">      Service water pumps and motors </v>
          </cell>
          <cell r="D382" t="str">
            <v>3810</v>
          </cell>
        </row>
        <row r="383">
          <cell r="B383" t="str">
            <v>02H02</v>
          </cell>
          <cell r="C383" t="str">
            <v xml:space="preserve">      Service water piping </v>
          </cell>
          <cell r="D383" t="str">
            <v>3811</v>
          </cell>
        </row>
        <row r="384">
          <cell r="B384" t="str">
            <v>02H03</v>
          </cell>
          <cell r="C384" t="str">
            <v xml:space="preserve">      Service water valves </v>
          </cell>
          <cell r="D384" t="str">
            <v>3812</v>
          </cell>
        </row>
        <row r="385">
          <cell r="B385" t="str">
            <v>02H04</v>
          </cell>
          <cell r="C385" t="str">
            <v xml:space="preserve">      Service water heat exchangers</v>
          </cell>
          <cell r="D385" t="str">
            <v>3813</v>
          </cell>
        </row>
        <row r="386">
          <cell r="B386" t="str">
            <v>02H05</v>
          </cell>
          <cell r="C386" t="str">
            <v xml:space="preserve">      Service water system fouling</v>
          </cell>
          <cell r="D386" t="str">
            <v>3814</v>
          </cell>
        </row>
        <row r="387">
          <cell r="B387" t="str">
            <v>02H06</v>
          </cell>
          <cell r="C387" t="str">
            <v xml:space="preserve">      Other service water problems</v>
          </cell>
          <cell r="D387" t="str">
            <v>3819</v>
          </cell>
        </row>
        <row r="388">
          <cell r="B388" t="str">
            <v>02H07</v>
          </cell>
          <cell r="C388" t="str">
            <v xml:space="preserve">      Closed cooling water pumps  </v>
          </cell>
          <cell r="D388" t="str">
            <v>3820</v>
          </cell>
        </row>
        <row r="389">
          <cell r="B389" t="str">
            <v>02H08</v>
          </cell>
          <cell r="C389" t="str">
            <v xml:space="preserve">      Closed cooling water piping </v>
          </cell>
          <cell r="D389" t="str">
            <v>3821</v>
          </cell>
        </row>
        <row r="390">
          <cell r="B390" t="str">
            <v>02H09</v>
          </cell>
          <cell r="C390" t="str">
            <v xml:space="preserve">      Closed cooling water valves </v>
          </cell>
          <cell r="D390" t="str">
            <v>3822</v>
          </cell>
        </row>
        <row r="391">
          <cell r="B391" t="str">
            <v>02H10</v>
          </cell>
          <cell r="C391" t="str">
            <v xml:space="preserve">      Closed cooling water heat exchangers </v>
          </cell>
          <cell r="D391" t="str">
            <v>3823</v>
          </cell>
        </row>
        <row r="392">
          <cell r="B392" t="str">
            <v>02H11</v>
          </cell>
          <cell r="C392" t="str">
            <v xml:space="preserve">      Closed cooling water system fouling</v>
          </cell>
          <cell r="D392" t="str">
            <v>3824</v>
          </cell>
        </row>
        <row r="393">
          <cell r="B393" t="str">
            <v>02H12</v>
          </cell>
          <cell r="C393" t="str">
            <v xml:space="preserve">      Other closed cooling water system problems</v>
          </cell>
          <cell r="D393" t="str">
            <v>3829</v>
          </cell>
        </row>
        <row r="394">
          <cell r="B394" t="str">
            <v>02H13</v>
          </cell>
          <cell r="C394" t="str">
            <v xml:space="preserve">      Auxiliary boiler </v>
          </cell>
          <cell r="D394" t="str">
            <v>3830</v>
          </cell>
        </row>
        <row r="395">
          <cell r="B395" t="str">
            <v>02H14</v>
          </cell>
          <cell r="C395" t="str">
            <v xml:space="preserve">      Auxiliary steam piping </v>
          </cell>
          <cell r="D395" t="str">
            <v>3831</v>
          </cell>
        </row>
        <row r="396">
          <cell r="B396" t="str">
            <v>02H15</v>
          </cell>
          <cell r="C396" t="str">
            <v xml:space="preserve">      Auxiliary steam valves </v>
          </cell>
          <cell r="D396" t="str">
            <v>3832</v>
          </cell>
        </row>
        <row r="397">
          <cell r="B397" t="str">
            <v>02H16</v>
          </cell>
          <cell r="C397" t="str">
            <v xml:space="preserve">      Auxiliary steam controls and instruments </v>
          </cell>
          <cell r="D397" t="str">
            <v>3833</v>
          </cell>
        </row>
        <row r="398">
          <cell r="B398" t="str">
            <v>02H17</v>
          </cell>
          <cell r="C398" t="str">
            <v xml:space="preserve">      Auxiliary boiler tube leaks </v>
          </cell>
          <cell r="D398" t="str">
            <v>3834</v>
          </cell>
        </row>
        <row r="399">
          <cell r="B399" t="str">
            <v>02H18</v>
          </cell>
          <cell r="C399" t="str">
            <v xml:space="preserve">      Other auxiliary steam problems </v>
          </cell>
          <cell r="D399" t="str">
            <v>3839</v>
          </cell>
        </row>
        <row r="400">
          <cell r="B400" t="str">
            <v>02H19</v>
          </cell>
          <cell r="C400" t="str">
            <v xml:space="preserve">      Service air compressors </v>
          </cell>
          <cell r="D400" t="str">
            <v>3840</v>
          </cell>
        </row>
        <row r="401">
          <cell r="B401" t="str">
            <v>02H20</v>
          </cell>
          <cell r="C401" t="str">
            <v xml:space="preserve">      Service air piping </v>
          </cell>
          <cell r="D401" t="str">
            <v>3841</v>
          </cell>
        </row>
        <row r="402">
          <cell r="B402" t="str">
            <v>02H21</v>
          </cell>
          <cell r="C402" t="str">
            <v xml:space="preserve">      Service air valves </v>
          </cell>
          <cell r="D402" t="str">
            <v>3842</v>
          </cell>
        </row>
        <row r="403">
          <cell r="B403" t="str">
            <v>02H22</v>
          </cell>
          <cell r="C403" t="str">
            <v xml:space="preserve">      Service air dryers </v>
          </cell>
          <cell r="D403" t="str">
            <v>3843</v>
          </cell>
        </row>
        <row r="404">
          <cell r="B404" t="str">
            <v>02H23</v>
          </cell>
          <cell r="C404" t="str">
            <v xml:space="preserve">      Soot blowing air compressor and system </v>
          </cell>
          <cell r="D404" t="str">
            <v>3844</v>
          </cell>
        </row>
        <row r="405">
          <cell r="B405" t="str">
            <v>02H24</v>
          </cell>
          <cell r="C405" t="str">
            <v xml:space="preserve">      Other service air problems</v>
          </cell>
          <cell r="D405" t="str">
            <v>3849</v>
          </cell>
        </row>
        <row r="406">
          <cell r="B406" t="str">
            <v>02H25</v>
          </cell>
          <cell r="C406" t="str">
            <v xml:space="preserve">      Instrument air compressors </v>
          </cell>
          <cell r="D406" t="str">
            <v>3850</v>
          </cell>
        </row>
        <row r="407">
          <cell r="B407" t="str">
            <v>02H26</v>
          </cell>
          <cell r="C407" t="str">
            <v xml:space="preserve">      Instrument air piping </v>
          </cell>
          <cell r="D407" t="str">
            <v>3851</v>
          </cell>
        </row>
        <row r="408">
          <cell r="B408" t="str">
            <v>02H27</v>
          </cell>
          <cell r="C408" t="str">
            <v xml:space="preserve">      Instrument air valves </v>
          </cell>
          <cell r="D408" t="str">
            <v>3852</v>
          </cell>
        </row>
        <row r="409">
          <cell r="B409" t="str">
            <v>02H28</v>
          </cell>
          <cell r="C409" t="str">
            <v xml:space="preserve">      Instrument air dryers </v>
          </cell>
          <cell r="D409" t="str">
            <v>3853</v>
          </cell>
        </row>
        <row r="410">
          <cell r="B410" t="str">
            <v>02H29</v>
          </cell>
          <cell r="C410" t="str">
            <v xml:space="preserve">      N2 backup to instrument air </v>
          </cell>
          <cell r="D410" t="str">
            <v>3854</v>
          </cell>
        </row>
        <row r="411">
          <cell r="B411" t="str">
            <v>02H30</v>
          </cell>
          <cell r="C411" t="str">
            <v xml:space="preserve">      Other instrument air problems  </v>
          </cell>
          <cell r="D411" t="str">
            <v>3859</v>
          </cell>
        </row>
        <row r="412">
          <cell r="B412" t="str">
            <v>02H31</v>
          </cell>
          <cell r="C412" t="str">
            <v xml:space="preserve">      Fire protection system pumps </v>
          </cell>
          <cell r="D412" t="str">
            <v>3860</v>
          </cell>
        </row>
        <row r="413">
          <cell r="B413" t="str">
            <v>02H32</v>
          </cell>
          <cell r="C413" t="str">
            <v xml:space="preserve">      Fire protection system piping </v>
          </cell>
          <cell r="D413" t="str">
            <v>3861</v>
          </cell>
        </row>
        <row r="414">
          <cell r="B414" t="str">
            <v>02H33</v>
          </cell>
          <cell r="C414" t="str">
            <v xml:space="preserve">      Fire protection system valves </v>
          </cell>
          <cell r="D414" t="str">
            <v>3862</v>
          </cell>
        </row>
        <row r="415">
          <cell r="B415" t="str">
            <v>02H34</v>
          </cell>
          <cell r="C415" t="str">
            <v xml:space="preserve">      Fire protection system fouling</v>
          </cell>
          <cell r="D415" t="str">
            <v>3863</v>
          </cell>
        </row>
        <row r="416">
          <cell r="B416" t="str">
            <v>02H35</v>
          </cell>
          <cell r="C416" t="str">
            <v xml:space="preserve">      Other fire protection system problems  </v>
          </cell>
          <cell r="D416" t="str">
            <v>3869</v>
          </cell>
        </row>
        <row r="417">
          <cell r="B417" t="str">
            <v>02H36</v>
          </cell>
          <cell r="C417" t="str">
            <v xml:space="preserve">      Seal air fan</v>
          </cell>
          <cell r="D417" t="str">
            <v>3880</v>
          </cell>
        </row>
        <row r="418">
          <cell r="B418" t="str">
            <v>02H37</v>
          </cell>
          <cell r="C418" t="str">
            <v xml:space="preserve">      Seal air fan drive - motor</v>
          </cell>
          <cell r="D418" t="str">
            <v>3881</v>
          </cell>
        </row>
        <row r="419">
          <cell r="B419" t="str">
            <v>02H38</v>
          </cell>
          <cell r="C419" t="str">
            <v xml:space="preserve">      Seal air control dampers and drives</v>
          </cell>
          <cell r="D419" t="str">
            <v>3882</v>
          </cell>
        </row>
        <row r="420">
          <cell r="B420" t="str">
            <v>02H39</v>
          </cell>
          <cell r="C420" t="str">
            <v xml:space="preserve">      Seal air filters</v>
          </cell>
          <cell r="D420" t="str">
            <v>3883</v>
          </cell>
        </row>
        <row r="421">
          <cell r="B421" t="str">
            <v>02H40</v>
          </cell>
          <cell r="C421" t="str">
            <v xml:space="preserve">      Other seal air problems</v>
          </cell>
          <cell r="D421" t="str">
            <v>3889</v>
          </cell>
        </row>
        <row r="422">
          <cell r="B422" t="str">
            <v>02H41</v>
          </cell>
          <cell r="C422" t="str">
            <v xml:space="preserve">      Other miscellaneous auxiliary system problems</v>
          </cell>
          <cell r="D422" t="str">
            <v>3899</v>
          </cell>
        </row>
        <row r="423">
          <cell r="B423" t="str">
            <v>02I</v>
          </cell>
          <cell r="C423" t="str">
            <v xml:space="preserve">   MISCELLANEOUS (BALANCE OF PLANT)</v>
          </cell>
        </row>
        <row r="424">
          <cell r="B424" t="str">
            <v>02I01</v>
          </cell>
          <cell r="C424" t="str">
            <v xml:space="preserve">      Process computer </v>
          </cell>
          <cell r="D424" t="str">
            <v>3950</v>
          </cell>
        </row>
        <row r="425">
          <cell r="B425" t="str">
            <v>02I02</v>
          </cell>
          <cell r="C425" t="str">
            <v xml:space="preserve">      Thermal derating (thermal efficiency losses in balance of plant when specific cause(s) unknown)</v>
          </cell>
          <cell r="D425" t="str">
            <v>3960</v>
          </cell>
        </row>
        <row r="426">
          <cell r="B426" t="str">
            <v>02I03</v>
          </cell>
          <cell r="C426" t="str">
            <v xml:space="preserve">      Other miscellaneous balance of plant problems</v>
          </cell>
          <cell r="D426" t="str">
            <v>3999</v>
          </cell>
        </row>
        <row r="427">
          <cell r="B427" t="str">
            <v>03</v>
          </cell>
          <cell r="C427" t="str">
            <v>STEAM TURBINE</v>
          </cell>
        </row>
        <row r="428">
          <cell r="B428" t="str">
            <v>03A</v>
          </cell>
          <cell r="C428" t="str">
            <v xml:space="preserve">   High Pressure Turbine</v>
          </cell>
        </row>
        <row r="429">
          <cell r="B429" t="str">
            <v>03A01</v>
          </cell>
          <cell r="C429" t="str">
            <v xml:space="preserve">      Outer casing </v>
          </cell>
          <cell r="D429" t="str">
            <v>4000</v>
          </cell>
        </row>
        <row r="430">
          <cell r="B430" t="str">
            <v>03A02</v>
          </cell>
          <cell r="C430" t="str">
            <v xml:space="preserve">      Inner casing </v>
          </cell>
          <cell r="D430" t="str">
            <v>4001</v>
          </cell>
        </row>
        <row r="431">
          <cell r="B431" t="str">
            <v>03A03</v>
          </cell>
          <cell r="C431" t="str">
            <v xml:space="preserve">      Nozzle bolting </v>
          </cell>
          <cell r="D431" t="str">
            <v>4009</v>
          </cell>
        </row>
        <row r="432">
          <cell r="B432" t="str">
            <v>03A04</v>
          </cell>
          <cell r="C432" t="str">
            <v xml:space="preserve">      Nozzles and nozzle blocks </v>
          </cell>
          <cell r="D432" t="str">
            <v>4010</v>
          </cell>
        </row>
        <row r="433">
          <cell r="B433" t="str">
            <v>03A05</v>
          </cell>
          <cell r="C433" t="str">
            <v xml:space="preserve">      Diaphragms </v>
          </cell>
          <cell r="D433" t="str">
            <v>4011</v>
          </cell>
        </row>
        <row r="434">
          <cell r="B434" t="str">
            <v>03A06</v>
          </cell>
          <cell r="C434" t="str">
            <v xml:space="preserve">      Buckets or blades </v>
          </cell>
          <cell r="D434" t="str">
            <v>4012</v>
          </cell>
        </row>
        <row r="435">
          <cell r="B435" t="str">
            <v>03A07</v>
          </cell>
          <cell r="C435" t="str">
            <v xml:space="preserve">      Diaphragms unit and shroud type </v>
          </cell>
          <cell r="D435" t="str">
            <v>4013</v>
          </cell>
        </row>
        <row r="436">
          <cell r="B436" t="str">
            <v>03A08</v>
          </cell>
          <cell r="C436" t="str">
            <v xml:space="preserve">      Bucket or blade fouling </v>
          </cell>
          <cell r="D436" t="str">
            <v>4014</v>
          </cell>
        </row>
        <row r="437">
          <cell r="B437" t="str">
            <v>03A09</v>
          </cell>
          <cell r="C437" t="str">
            <v xml:space="preserve">      Wheels or spindles </v>
          </cell>
          <cell r="D437" t="str">
            <v>4015</v>
          </cell>
        </row>
        <row r="438">
          <cell r="B438" t="str">
            <v>03A10</v>
          </cell>
          <cell r="C438" t="str">
            <v xml:space="preserve">      Shaft seals </v>
          </cell>
          <cell r="D438" t="str">
            <v>4020</v>
          </cell>
        </row>
        <row r="439">
          <cell r="B439" t="str">
            <v>03A11</v>
          </cell>
          <cell r="C439" t="str">
            <v xml:space="preserve">      Dummy rings </v>
          </cell>
          <cell r="D439" t="str">
            <v>4021</v>
          </cell>
        </row>
        <row r="440">
          <cell r="B440" t="str">
            <v>03A12</v>
          </cell>
          <cell r="C440" t="str">
            <v xml:space="preserve">      Gland rings </v>
          </cell>
          <cell r="D440" t="str">
            <v>4022</v>
          </cell>
        </row>
        <row r="441">
          <cell r="B441" t="str">
            <v>03A13</v>
          </cell>
          <cell r="C441" t="str">
            <v xml:space="preserve">      Rotor shaft </v>
          </cell>
          <cell r="D441" t="str">
            <v>4030</v>
          </cell>
        </row>
        <row r="442">
          <cell r="B442" t="str">
            <v>03A14</v>
          </cell>
          <cell r="C442" t="str">
            <v xml:space="preserve">      Bearings </v>
          </cell>
          <cell r="D442" t="str">
            <v>4040</v>
          </cell>
        </row>
        <row r="443">
          <cell r="B443" t="str">
            <v>03A15</v>
          </cell>
          <cell r="C443" t="str">
            <v xml:space="preserve">      Other high pressure turbine problems</v>
          </cell>
          <cell r="D443" t="str">
            <v>4099</v>
          </cell>
        </row>
        <row r="444">
          <cell r="B444" t="str">
            <v>03B</v>
          </cell>
          <cell r="C444" t="str">
            <v xml:space="preserve">   Intermediate Pressure Turbine</v>
          </cell>
        </row>
        <row r="445">
          <cell r="B445" t="str">
            <v>03B01</v>
          </cell>
          <cell r="C445" t="str">
            <v xml:space="preserve">      Outer casing </v>
          </cell>
          <cell r="D445" t="str">
            <v>4100</v>
          </cell>
        </row>
        <row r="446">
          <cell r="B446" t="str">
            <v>03B02</v>
          </cell>
          <cell r="C446" t="str">
            <v xml:space="preserve">      Inner casing </v>
          </cell>
          <cell r="D446" t="str">
            <v>4101</v>
          </cell>
        </row>
        <row r="447">
          <cell r="B447" t="str">
            <v>03B03</v>
          </cell>
          <cell r="C447" t="str">
            <v xml:space="preserve">      Nozzle bolting </v>
          </cell>
          <cell r="D447" t="str">
            <v>4109</v>
          </cell>
        </row>
        <row r="448">
          <cell r="B448" t="str">
            <v>03B04</v>
          </cell>
          <cell r="C448" t="str">
            <v xml:space="preserve">      Nozzles and nozzle blocks </v>
          </cell>
          <cell r="D448" t="str">
            <v>4110</v>
          </cell>
        </row>
        <row r="449">
          <cell r="B449" t="str">
            <v>03B05</v>
          </cell>
          <cell r="C449" t="str">
            <v xml:space="preserve">      Diaphragms </v>
          </cell>
          <cell r="D449" t="str">
            <v>4111</v>
          </cell>
        </row>
        <row r="450">
          <cell r="B450" t="str">
            <v>03B06</v>
          </cell>
          <cell r="C450" t="str">
            <v xml:space="preserve">      Buckets or blades </v>
          </cell>
          <cell r="D450" t="str">
            <v>4112</v>
          </cell>
        </row>
        <row r="451">
          <cell r="B451" t="str">
            <v>03B07</v>
          </cell>
          <cell r="C451" t="str">
            <v xml:space="preserve">      Bucket or blade fouling </v>
          </cell>
          <cell r="D451" t="str">
            <v>4113</v>
          </cell>
        </row>
        <row r="452">
          <cell r="B452" t="str">
            <v>03B08</v>
          </cell>
          <cell r="C452" t="str">
            <v xml:space="preserve">      Wheels or spindles </v>
          </cell>
          <cell r="D452" t="str">
            <v>4115</v>
          </cell>
        </row>
        <row r="453">
          <cell r="B453" t="str">
            <v>03B09</v>
          </cell>
          <cell r="C453" t="str">
            <v xml:space="preserve">      Shaft seals </v>
          </cell>
          <cell r="D453" t="str">
            <v>4120</v>
          </cell>
        </row>
        <row r="454">
          <cell r="B454" t="str">
            <v>03B10</v>
          </cell>
          <cell r="C454" t="str">
            <v xml:space="preserve">      Dummy rings </v>
          </cell>
          <cell r="D454" t="str">
            <v>4121</v>
          </cell>
        </row>
        <row r="455">
          <cell r="B455" t="str">
            <v>03B11</v>
          </cell>
          <cell r="C455" t="str">
            <v xml:space="preserve">      Gland rings </v>
          </cell>
          <cell r="D455" t="str">
            <v>4122</v>
          </cell>
        </row>
        <row r="456">
          <cell r="B456" t="str">
            <v>03B12</v>
          </cell>
          <cell r="C456" t="str">
            <v xml:space="preserve">      Rotor shaft </v>
          </cell>
          <cell r="D456" t="str">
            <v>4130</v>
          </cell>
        </row>
        <row r="457">
          <cell r="B457" t="str">
            <v>03B13</v>
          </cell>
          <cell r="C457" t="str">
            <v xml:space="preserve">      Bearings </v>
          </cell>
          <cell r="D457" t="str">
            <v>4140</v>
          </cell>
        </row>
        <row r="458">
          <cell r="B458" t="str">
            <v>03B14</v>
          </cell>
          <cell r="C458" t="str">
            <v xml:space="preserve">      Other intermediate pressure turbine problems</v>
          </cell>
          <cell r="D458" t="str">
            <v>4199</v>
          </cell>
        </row>
        <row r="459">
          <cell r="B459" t="str">
            <v>03C</v>
          </cell>
          <cell r="C459" t="str">
            <v xml:space="preserve">   Low Pressure Turbine</v>
          </cell>
        </row>
        <row r="460">
          <cell r="B460" t="str">
            <v>03C01</v>
          </cell>
          <cell r="C460" t="str">
            <v xml:space="preserve">      Outer casing </v>
          </cell>
          <cell r="D460" t="str">
            <v>4200</v>
          </cell>
        </row>
        <row r="461">
          <cell r="B461" t="str">
            <v>03C02</v>
          </cell>
          <cell r="C461" t="str">
            <v xml:space="preserve">      Inner casing </v>
          </cell>
          <cell r="D461" t="str">
            <v>4201</v>
          </cell>
        </row>
        <row r="462">
          <cell r="B462" t="str">
            <v>03C03</v>
          </cell>
          <cell r="C462" t="str">
            <v xml:space="preserve">      Nozzle bolting </v>
          </cell>
          <cell r="D462" t="str">
            <v>4209</v>
          </cell>
        </row>
        <row r="463">
          <cell r="B463" t="str">
            <v>03C04</v>
          </cell>
          <cell r="C463" t="str">
            <v xml:space="preserve">      Nozzles and nozzle blocks </v>
          </cell>
          <cell r="D463" t="str">
            <v>4210</v>
          </cell>
        </row>
        <row r="464">
          <cell r="B464" t="str">
            <v>03C05</v>
          </cell>
          <cell r="C464" t="str">
            <v xml:space="preserve">      Diaphragms </v>
          </cell>
          <cell r="D464" t="str">
            <v>4211</v>
          </cell>
        </row>
        <row r="465">
          <cell r="B465" t="str">
            <v>03C06</v>
          </cell>
          <cell r="C465" t="str">
            <v xml:space="preserve">      Buckets or blades </v>
          </cell>
          <cell r="D465" t="str">
            <v>4212</v>
          </cell>
        </row>
        <row r="466">
          <cell r="B466" t="str">
            <v>03C07</v>
          </cell>
          <cell r="C466" t="str">
            <v xml:space="preserve">      Bucket or blade fouling</v>
          </cell>
          <cell r="D466" t="str">
            <v>4213</v>
          </cell>
        </row>
        <row r="467">
          <cell r="B467" t="str">
            <v>03C08</v>
          </cell>
          <cell r="C467" t="str">
            <v xml:space="preserve">      Wheels or spindles </v>
          </cell>
          <cell r="D467" t="str">
            <v>4215</v>
          </cell>
        </row>
        <row r="468">
          <cell r="B468" t="str">
            <v>03C09</v>
          </cell>
          <cell r="C468" t="str">
            <v xml:space="preserve">      Shaft seals </v>
          </cell>
          <cell r="D468" t="str">
            <v>4220</v>
          </cell>
        </row>
        <row r="469">
          <cell r="B469" t="str">
            <v>03C10</v>
          </cell>
          <cell r="C469" t="str">
            <v xml:space="preserve">      Dummy rings </v>
          </cell>
          <cell r="D469" t="str">
            <v>4221</v>
          </cell>
        </row>
        <row r="470">
          <cell r="B470" t="str">
            <v>03C11</v>
          </cell>
          <cell r="C470" t="str">
            <v xml:space="preserve">      Gland rings </v>
          </cell>
          <cell r="D470" t="str">
            <v>4222</v>
          </cell>
        </row>
        <row r="471">
          <cell r="B471" t="str">
            <v>03C12</v>
          </cell>
          <cell r="C471" t="str">
            <v xml:space="preserve">      Rotor shaft </v>
          </cell>
          <cell r="D471" t="str">
            <v>4230</v>
          </cell>
        </row>
        <row r="472">
          <cell r="B472" t="str">
            <v>03C13</v>
          </cell>
          <cell r="C472" t="str">
            <v xml:space="preserve">      Bearings </v>
          </cell>
          <cell r="D472" t="str">
            <v>4240</v>
          </cell>
        </row>
        <row r="473">
          <cell r="B473" t="str">
            <v>03C14</v>
          </cell>
          <cell r="C473" t="str">
            <v xml:space="preserve">      Other low pressure turbine problems  </v>
          </cell>
          <cell r="D473" t="str">
            <v>4250</v>
          </cell>
        </row>
        <row r="474">
          <cell r="B474" t="str">
            <v>03D</v>
          </cell>
          <cell r="C474" t="str">
            <v xml:space="preserve">   Valves</v>
          </cell>
        </row>
        <row r="475">
          <cell r="B475" t="str">
            <v>03D01</v>
          </cell>
          <cell r="C475" t="str">
            <v xml:space="preserve">      Main stop valves </v>
          </cell>
          <cell r="D475" t="str">
            <v>4260</v>
          </cell>
        </row>
        <row r="476">
          <cell r="B476" t="str">
            <v>03D02</v>
          </cell>
          <cell r="C476" t="str">
            <v xml:space="preserve">      Control valves </v>
          </cell>
          <cell r="D476" t="str">
            <v>4261</v>
          </cell>
        </row>
        <row r="477">
          <cell r="B477" t="str">
            <v>03D03</v>
          </cell>
          <cell r="C477" t="str">
            <v xml:space="preserve">      Intercept valves </v>
          </cell>
          <cell r="D477" t="str">
            <v>4262</v>
          </cell>
        </row>
        <row r="478">
          <cell r="B478" t="str">
            <v>03D04</v>
          </cell>
          <cell r="C478" t="str">
            <v xml:space="preserve">      Reheat stop valves </v>
          </cell>
          <cell r="D478" t="str">
            <v>4263</v>
          </cell>
        </row>
        <row r="479">
          <cell r="B479" t="str">
            <v>03D05</v>
          </cell>
          <cell r="C479" t="str">
            <v xml:space="preserve">      Combined intercept valves </v>
          </cell>
          <cell r="D479" t="str">
            <v>4264</v>
          </cell>
        </row>
        <row r="480">
          <cell r="B480" t="str">
            <v>03D06</v>
          </cell>
          <cell r="C480" t="str">
            <v xml:space="preserve">      Miscellaneous drain and vent valves </v>
          </cell>
          <cell r="D480" t="str">
            <v>4265</v>
          </cell>
        </row>
        <row r="481">
          <cell r="B481" t="str">
            <v>03D07</v>
          </cell>
          <cell r="C481" t="str">
            <v xml:space="preserve">      Main stop valve testing </v>
          </cell>
          <cell r="D481" t="str">
            <v>4266</v>
          </cell>
        </row>
        <row r="482">
          <cell r="B482" t="str">
            <v>03D08</v>
          </cell>
          <cell r="C482" t="str">
            <v xml:space="preserve">      Control valve testing </v>
          </cell>
          <cell r="D482" t="str">
            <v>4267</v>
          </cell>
        </row>
        <row r="483">
          <cell r="B483" t="str">
            <v>03D09</v>
          </cell>
          <cell r="C483" t="str">
            <v xml:space="preserve">      Reheat/intercept valve testing </v>
          </cell>
          <cell r="D483" t="str">
            <v>4268</v>
          </cell>
        </row>
        <row r="484">
          <cell r="B484" t="str">
            <v>03D10</v>
          </cell>
          <cell r="C484" t="str">
            <v xml:space="preserve">      Other turbine valves</v>
          </cell>
          <cell r="D484" t="str">
            <v>4269</v>
          </cell>
        </row>
        <row r="485">
          <cell r="B485" t="str">
            <v>03E</v>
          </cell>
          <cell r="C485" t="str">
            <v xml:space="preserve">   Piping</v>
          </cell>
        </row>
        <row r="486">
          <cell r="B486" t="str">
            <v>03E01</v>
          </cell>
          <cell r="C486" t="str">
            <v xml:space="preserve">      Crossover or under piping </v>
          </cell>
          <cell r="D486" t="str">
            <v>4270</v>
          </cell>
        </row>
        <row r="487">
          <cell r="B487" t="str">
            <v>03E02</v>
          </cell>
          <cell r="C487" t="str">
            <v xml:space="preserve">      Miscellaneous turbine piping </v>
          </cell>
          <cell r="D487" t="str">
            <v>4279</v>
          </cell>
        </row>
        <row r="488">
          <cell r="B488" t="str">
            <v>03F</v>
          </cell>
          <cell r="C488" t="str">
            <v xml:space="preserve">   Lube Oil (do not include bearing failures due to lube oil)  </v>
          </cell>
        </row>
        <row r="489">
          <cell r="B489" t="str">
            <v>03F01</v>
          </cell>
          <cell r="C489" t="str">
            <v xml:space="preserve">      Lube oil pumps </v>
          </cell>
          <cell r="D489" t="str">
            <v>4280</v>
          </cell>
        </row>
        <row r="490">
          <cell r="B490" t="str">
            <v>03F02</v>
          </cell>
          <cell r="C490" t="str">
            <v xml:space="preserve">      Lube oil coolers </v>
          </cell>
          <cell r="D490" t="str">
            <v>4281</v>
          </cell>
        </row>
        <row r="491">
          <cell r="B491" t="str">
            <v>03F03</v>
          </cell>
          <cell r="C491" t="str">
            <v xml:space="preserve">      Lube oil conditioners </v>
          </cell>
          <cell r="D491" t="str">
            <v>4282</v>
          </cell>
        </row>
        <row r="492">
          <cell r="B492" t="str">
            <v>03F04</v>
          </cell>
          <cell r="C492" t="str">
            <v xml:space="preserve">      Lube oil system valves and piping </v>
          </cell>
          <cell r="D492" t="str">
            <v>4283</v>
          </cell>
        </row>
        <row r="493">
          <cell r="B493" t="str">
            <v>03F05</v>
          </cell>
          <cell r="C493" t="str">
            <v xml:space="preserve">      Lube oil pump drive </v>
          </cell>
          <cell r="D493" t="str">
            <v>4284</v>
          </cell>
        </row>
        <row r="494">
          <cell r="B494" t="str">
            <v>03F06</v>
          </cell>
          <cell r="C494" t="str">
            <v xml:space="preserve">      Other lube oil system problems</v>
          </cell>
          <cell r="D494" t="str">
            <v>4289</v>
          </cell>
        </row>
        <row r="495">
          <cell r="B495" t="str">
            <v>03G</v>
          </cell>
          <cell r="C495" t="str">
            <v xml:space="preserve">   Controls</v>
          </cell>
        </row>
        <row r="496">
          <cell r="B496" t="str">
            <v>03G01</v>
          </cell>
          <cell r="C496" t="str">
            <v xml:space="preserve">      Hydraulic system pumps </v>
          </cell>
          <cell r="D496" t="str">
            <v>4290</v>
          </cell>
        </row>
        <row r="497">
          <cell r="B497" t="str">
            <v>03G02</v>
          </cell>
          <cell r="C497" t="str">
            <v xml:space="preserve">      Hydraulic system coolers </v>
          </cell>
          <cell r="D497" t="str">
            <v>4291</v>
          </cell>
        </row>
        <row r="498">
          <cell r="B498" t="str">
            <v>03G03</v>
          </cell>
          <cell r="C498" t="str">
            <v xml:space="preserve">      Hydraulic system filters </v>
          </cell>
          <cell r="D498" t="str">
            <v>4292</v>
          </cell>
        </row>
        <row r="499">
          <cell r="B499" t="str">
            <v>03G04</v>
          </cell>
          <cell r="C499" t="str">
            <v xml:space="preserve">      Hydraulic system pipes and valves </v>
          </cell>
          <cell r="D499" t="str">
            <v>4293</v>
          </cell>
        </row>
        <row r="500">
          <cell r="B500" t="str">
            <v>03G05</v>
          </cell>
          <cell r="C500" t="str">
            <v xml:space="preserve">      Other hydraulic system problems </v>
          </cell>
          <cell r="D500" t="str">
            <v>4299</v>
          </cell>
        </row>
        <row r="501">
          <cell r="B501" t="str">
            <v>03G06</v>
          </cell>
          <cell r="C501" t="str">
            <v xml:space="preserve">      Turbine supervisory system (use codes 4290 to 4299 for hydraulic oil) </v>
          </cell>
          <cell r="D501" t="str">
            <v>4300</v>
          </cell>
        </row>
        <row r="502">
          <cell r="B502" t="str">
            <v>03G07</v>
          </cell>
          <cell r="C502" t="str">
            <v xml:space="preserve">      Turbine governing system </v>
          </cell>
          <cell r="D502" t="str">
            <v>4301</v>
          </cell>
        </row>
        <row r="503">
          <cell r="B503" t="str">
            <v>03G08</v>
          </cell>
          <cell r="C503" t="str">
            <v xml:space="preserve">      Turbine trip devices (including instruments) </v>
          </cell>
          <cell r="D503" t="str">
            <v>4302</v>
          </cell>
        </row>
        <row r="504">
          <cell r="B504" t="str">
            <v>03G09</v>
          </cell>
          <cell r="C504" t="str">
            <v xml:space="preserve">      Exhaust hood and spray controls </v>
          </cell>
          <cell r="D504" t="str">
            <v>4303</v>
          </cell>
        </row>
        <row r="505">
          <cell r="B505" t="str">
            <v>03G10</v>
          </cell>
          <cell r="C505" t="str">
            <v xml:space="preserve">      Automatic turbine control systems - mechanical </v>
          </cell>
          <cell r="D505" t="str">
            <v>4304</v>
          </cell>
        </row>
        <row r="506">
          <cell r="B506" t="str">
            <v>03G11</v>
          </cell>
          <cell r="C506" t="str">
            <v xml:space="preserve">      Automatic turbine control systems - mechanical - hydraulic </v>
          </cell>
          <cell r="D506" t="str">
            <v>4305</v>
          </cell>
        </row>
        <row r="507">
          <cell r="B507" t="str">
            <v>03G12</v>
          </cell>
          <cell r="C507" t="str">
            <v xml:space="preserve">      Automatic turbine control systems - electro-hydraulic - analog </v>
          </cell>
          <cell r="D507" t="str">
            <v>4306</v>
          </cell>
        </row>
        <row r="508">
          <cell r="B508" t="str">
            <v>03G13</v>
          </cell>
          <cell r="C508" t="str">
            <v xml:space="preserve">      Automatic turbine control systems - electro-hydraulic - digital </v>
          </cell>
          <cell r="D508" t="str">
            <v>4307</v>
          </cell>
        </row>
        <row r="509">
          <cell r="B509" t="str">
            <v>03G14</v>
          </cell>
          <cell r="C509" t="str">
            <v xml:space="preserve">      Automatic turbine control systems - digital control and monitoring </v>
          </cell>
          <cell r="D509" t="str">
            <v>4308</v>
          </cell>
        </row>
        <row r="510">
          <cell r="B510" t="str">
            <v>03G15</v>
          </cell>
          <cell r="C510" t="str">
            <v xml:space="preserve">      Other turbine instrument and control problems</v>
          </cell>
          <cell r="D510" t="str">
            <v>4309</v>
          </cell>
        </row>
        <row r="511">
          <cell r="B511" t="str">
            <v>03H</v>
          </cell>
          <cell r="C511" t="str">
            <v xml:space="preserve">   Miscellaneous (Steam Turbine)</v>
          </cell>
        </row>
        <row r="512">
          <cell r="B512" t="str">
            <v>03H01</v>
          </cell>
          <cell r="C512" t="str">
            <v xml:space="preserve">      Major turbine overhaul (720 hours or longer) (use for non-specific overhaul only; see   page B-1) </v>
          </cell>
          <cell r="D512" t="str">
            <v>4400</v>
          </cell>
        </row>
        <row r="513">
          <cell r="B513" t="str">
            <v>03H02</v>
          </cell>
          <cell r="C513" t="str">
            <v xml:space="preserve">      Inspection </v>
          </cell>
          <cell r="D513" t="str">
            <v>4401</v>
          </cell>
        </row>
        <row r="514">
          <cell r="B514" t="str">
            <v>03H03</v>
          </cell>
          <cell r="C514" t="str">
            <v xml:space="preserve">      Minor turbine overhaul (less than 720 hours) (use for non-specific overhaul only; see   page B-1) </v>
          </cell>
          <cell r="D514" t="str">
            <v>4402</v>
          </cell>
        </row>
        <row r="515">
          <cell r="B515" t="str">
            <v>03H04</v>
          </cell>
          <cell r="C515" t="str">
            <v xml:space="preserve">      Turning gear and motor </v>
          </cell>
          <cell r="D515" t="str">
            <v>4410</v>
          </cell>
        </row>
        <row r="516">
          <cell r="B516" t="str">
            <v>03H05</v>
          </cell>
          <cell r="C516" t="str">
            <v xml:space="preserve">      Vibration of the turbine generator unit that cant be attributed to a specific cause such as bearings or blades</v>
          </cell>
          <cell r="D516" t="str">
            <v>4420</v>
          </cell>
        </row>
        <row r="517">
          <cell r="B517" t="str">
            <v>03H06</v>
          </cell>
          <cell r="C517" t="str">
            <v xml:space="preserve">      Gland seal system </v>
          </cell>
          <cell r="D517" t="str">
            <v>4430</v>
          </cell>
        </row>
        <row r="518">
          <cell r="B518" t="str">
            <v>03H07</v>
          </cell>
          <cell r="C518" t="str">
            <v xml:space="preserve">      Water induction </v>
          </cell>
          <cell r="D518" t="str">
            <v>4450</v>
          </cell>
        </row>
        <row r="519">
          <cell r="B519" t="str">
            <v>03H08</v>
          </cell>
          <cell r="C519" t="str">
            <v xml:space="preserve">      Turbine overspeed trip test </v>
          </cell>
          <cell r="D519" t="str">
            <v>4460</v>
          </cell>
        </row>
        <row r="520">
          <cell r="B520" t="str">
            <v>03H09</v>
          </cell>
          <cell r="C520" t="str">
            <v xml:space="preserve">      Differential expansion </v>
          </cell>
          <cell r="D520" t="str">
            <v>4470</v>
          </cell>
        </row>
        <row r="521">
          <cell r="B521" t="str">
            <v>03H10</v>
          </cell>
          <cell r="C521" t="str">
            <v xml:space="preserve">      Turbine performance testing (use code 9999 for total unit performance testing) </v>
          </cell>
          <cell r="D521" t="str">
            <v>4490</v>
          </cell>
        </row>
        <row r="522">
          <cell r="B522" t="str">
            <v>03H11</v>
          </cell>
          <cell r="C522" t="str">
            <v xml:space="preserve">      Other miscellaneous steam turbine problems</v>
          </cell>
          <cell r="D522" t="str">
            <v>4499</v>
          </cell>
        </row>
        <row r="523">
          <cell r="B523" t="str">
            <v>04</v>
          </cell>
          <cell r="C523" t="str">
            <v>GENERATOR</v>
          </cell>
        </row>
        <row r="524">
          <cell r="B524" t="str">
            <v>04A</v>
          </cell>
          <cell r="C524" t="str">
            <v xml:space="preserve">   GENERATOR</v>
          </cell>
        </row>
        <row r="525">
          <cell r="B525" t="str">
            <v>04A01</v>
          </cell>
          <cell r="C525" t="str">
            <v xml:space="preserve">      Rotor windings </v>
          </cell>
          <cell r="D525" t="str">
            <v>4500</v>
          </cell>
        </row>
        <row r="526">
          <cell r="B526" t="str">
            <v>04A02</v>
          </cell>
          <cell r="C526" t="str">
            <v xml:space="preserve">      Rotor collector rings </v>
          </cell>
          <cell r="D526" t="str">
            <v>4510</v>
          </cell>
        </row>
        <row r="527">
          <cell r="B527" t="str">
            <v>04A03</v>
          </cell>
          <cell r="C527" t="str">
            <v xml:space="preserve">      Stator windings, bushings, and terminals </v>
          </cell>
          <cell r="D527" t="str">
            <v>4520</v>
          </cell>
        </row>
        <row r="528">
          <cell r="B528" t="str">
            <v>04A04</v>
          </cell>
          <cell r="C528" t="str">
            <v xml:space="preserve">      Stator core iron </v>
          </cell>
          <cell r="D528" t="str">
            <v>4530</v>
          </cell>
        </row>
        <row r="529">
          <cell r="B529" t="str">
            <v>04A05</v>
          </cell>
          <cell r="C529" t="str">
            <v xml:space="preserve">      Brushes and brush rigging </v>
          </cell>
          <cell r="D529" t="str">
            <v>4540</v>
          </cell>
        </row>
        <row r="530">
          <cell r="B530" t="str">
            <v>04A06</v>
          </cell>
          <cell r="C530" t="str">
            <v xml:space="preserve">      Generator bearings and lube oil system  </v>
          </cell>
          <cell r="D530" t="str">
            <v>4550</v>
          </cell>
        </row>
        <row r="531">
          <cell r="B531" t="str">
            <v>04A07</v>
          </cell>
          <cell r="C531" t="str">
            <v xml:space="preserve">      Bearing cooling system </v>
          </cell>
          <cell r="D531" t="str">
            <v>4555</v>
          </cell>
        </row>
        <row r="532">
          <cell r="B532" t="str">
            <v>04A08</v>
          </cell>
          <cell r="C532" t="str">
            <v xml:space="preserve">      Generator vibration (excluding vibration due to failed bearing and other components) </v>
          </cell>
          <cell r="D532" t="str">
            <v>4560</v>
          </cell>
        </row>
        <row r="533">
          <cell r="B533" t="str">
            <v>04A09</v>
          </cell>
          <cell r="C533" t="str">
            <v xml:space="preserve">      Generator casing </v>
          </cell>
          <cell r="D533" t="str">
            <v>4570</v>
          </cell>
        </row>
        <row r="534">
          <cell r="B534" t="str">
            <v>04A10</v>
          </cell>
          <cell r="C534" t="str">
            <v xml:space="preserve">      Generator end bells and bolting </v>
          </cell>
          <cell r="D534" t="str">
            <v>4580</v>
          </cell>
        </row>
        <row r="535">
          <cell r="B535" t="str">
            <v>04A11</v>
          </cell>
          <cell r="C535" t="str">
            <v xml:space="preserve">      Generator brakes</v>
          </cell>
          <cell r="D535" t="str">
            <v>4590</v>
          </cell>
        </row>
        <row r="536">
          <cell r="B536" t="str">
            <v>04B</v>
          </cell>
          <cell r="C536" t="str">
            <v xml:space="preserve">   Exciter</v>
          </cell>
        </row>
        <row r="537">
          <cell r="B537" t="str">
            <v>04B01</v>
          </cell>
          <cell r="C537" t="str">
            <v xml:space="preserve">      Exciter drive - motor </v>
          </cell>
          <cell r="D537" t="str">
            <v>4600</v>
          </cell>
        </row>
        <row r="538">
          <cell r="B538" t="str">
            <v>04B02</v>
          </cell>
          <cell r="C538" t="str">
            <v xml:space="preserve">      Exciter field rheostat </v>
          </cell>
          <cell r="D538" t="str">
            <v>4601</v>
          </cell>
        </row>
        <row r="539">
          <cell r="B539" t="str">
            <v>04B03</v>
          </cell>
          <cell r="C539" t="str">
            <v xml:space="preserve">      Exciter commutator and brushes </v>
          </cell>
          <cell r="D539" t="str">
            <v>4602</v>
          </cell>
        </row>
        <row r="540">
          <cell r="B540" t="str">
            <v>04B04</v>
          </cell>
          <cell r="C540" t="str">
            <v xml:space="preserve">      Solid state exciter element </v>
          </cell>
          <cell r="D540" t="str">
            <v>4603</v>
          </cell>
        </row>
        <row r="541">
          <cell r="B541" t="str">
            <v>04B05</v>
          </cell>
          <cell r="C541" t="str">
            <v xml:space="preserve">      Exciter drive - shaft </v>
          </cell>
          <cell r="D541" t="str">
            <v>4604</v>
          </cell>
        </row>
        <row r="542">
          <cell r="B542" t="str">
            <v>04B06</v>
          </cell>
          <cell r="C542" t="str">
            <v xml:space="preserve">      Other exciter problems</v>
          </cell>
          <cell r="D542" t="str">
            <v>4609</v>
          </cell>
        </row>
        <row r="543">
          <cell r="B543" t="str">
            <v>04C</v>
          </cell>
          <cell r="C543" t="str">
            <v xml:space="preserve">   Cooling System (report failures caused by water leaks into generator as codes 4500, 4510, etc.)</v>
          </cell>
        </row>
        <row r="544">
          <cell r="B544" t="str">
            <v>04C01</v>
          </cell>
          <cell r="C544" t="str">
            <v xml:space="preserve">      Hydrogen cooling system piping and valves </v>
          </cell>
          <cell r="D544" t="str">
            <v>4610</v>
          </cell>
        </row>
        <row r="545">
          <cell r="B545" t="str">
            <v>04C02</v>
          </cell>
          <cell r="C545" t="str">
            <v xml:space="preserve">      Hydrogen coolers </v>
          </cell>
          <cell r="D545" t="str">
            <v>4611</v>
          </cell>
        </row>
        <row r="546">
          <cell r="B546" t="str">
            <v>04C03</v>
          </cell>
          <cell r="C546" t="str">
            <v xml:space="preserve">      Hydrogen storage system </v>
          </cell>
          <cell r="D546" t="str">
            <v>4612</v>
          </cell>
        </row>
        <row r="547">
          <cell r="B547" t="str">
            <v>04C04</v>
          </cell>
          <cell r="C547" t="str">
            <v xml:space="preserve">      Hydrogen seals </v>
          </cell>
          <cell r="D547" t="str">
            <v>4613</v>
          </cell>
        </row>
        <row r="548">
          <cell r="B548" t="str">
            <v>04C05</v>
          </cell>
          <cell r="C548" t="str">
            <v xml:space="preserve">      Other hydrogen system problems </v>
          </cell>
          <cell r="D548" t="str">
            <v>4619</v>
          </cell>
        </row>
        <row r="549">
          <cell r="B549" t="str">
            <v>04C06</v>
          </cell>
          <cell r="C549" t="str">
            <v xml:space="preserve">      Air cooling system </v>
          </cell>
          <cell r="D549" t="str">
            <v>4620</v>
          </cell>
        </row>
        <row r="550">
          <cell r="B550" t="str">
            <v>04C07</v>
          </cell>
          <cell r="C550" t="str">
            <v xml:space="preserve">      Liquid cooling system </v>
          </cell>
          <cell r="D550" t="str">
            <v>4630</v>
          </cell>
        </row>
        <row r="551">
          <cell r="B551" t="str">
            <v>04C08</v>
          </cell>
          <cell r="C551" t="str">
            <v xml:space="preserve">      Seal oil system and seals </v>
          </cell>
          <cell r="D551" t="str">
            <v>4640</v>
          </cell>
        </row>
        <row r="552">
          <cell r="B552" t="str">
            <v>04C09</v>
          </cell>
          <cell r="C552" t="str">
            <v xml:space="preserve">      Other cooling system problems</v>
          </cell>
          <cell r="D552" t="str">
            <v>4650</v>
          </cell>
        </row>
        <row r="553">
          <cell r="B553" t="str">
            <v>04D</v>
          </cell>
          <cell r="C553" t="str">
            <v xml:space="preserve">   Controls</v>
          </cell>
        </row>
        <row r="554">
          <cell r="B554" t="str">
            <v>04D01</v>
          </cell>
          <cell r="C554" t="str">
            <v xml:space="preserve">      Generator voltage control </v>
          </cell>
          <cell r="D554" t="str">
            <v>4700</v>
          </cell>
        </row>
        <row r="555">
          <cell r="B555" t="str">
            <v>04D02</v>
          </cell>
          <cell r="C555" t="str">
            <v xml:space="preserve">      Generator metering devices </v>
          </cell>
          <cell r="D555" t="str">
            <v>4710</v>
          </cell>
        </row>
        <row r="556">
          <cell r="B556" t="str">
            <v>04D03</v>
          </cell>
          <cell r="C556" t="str">
            <v xml:space="preserve">      Generator synchronization equipment </v>
          </cell>
          <cell r="D556" t="str">
            <v>4720</v>
          </cell>
        </row>
        <row r="557">
          <cell r="B557" t="str">
            <v>04D04</v>
          </cell>
          <cell r="C557" t="str">
            <v xml:space="preserve">      Generator current and potential transformers </v>
          </cell>
          <cell r="D557" t="str">
            <v>4730</v>
          </cell>
        </row>
        <row r="558">
          <cell r="B558" t="str">
            <v>04D05</v>
          </cell>
          <cell r="C558" t="str">
            <v xml:space="preserve">      Emergency generator trip devices </v>
          </cell>
          <cell r="D558" t="str">
            <v>4740</v>
          </cell>
        </row>
        <row r="559">
          <cell r="B559" t="str">
            <v>04D06</v>
          </cell>
          <cell r="C559" t="str">
            <v xml:space="preserve">      Other generator controls and metering problems</v>
          </cell>
          <cell r="D559" t="str">
            <v>4750</v>
          </cell>
        </row>
        <row r="560">
          <cell r="B560" t="str">
            <v>04E</v>
          </cell>
          <cell r="C560" t="str">
            <v xml:space="preserve">   Miscellaneous (Generator)</v>
          </cell>
        </row>
        <row r="561">
          <cell r="B561" t="str">
            <v>04E01</v>
          </cell>
          <cell r="C561" t="str">
            <v xml:space="preserve">      Generator main leads </v>
          </cell>
          <cell r="D561" t="str">
            <v>4800</v>
          </cell>
        </row>
        <row r="562">
          <cell r="B562" t="str">
            <v>04E02</v>
          </cell>
          <cell r="C562" t="str">
            <v xml:space="preserve">      Generator output breaker </v>
          </cell>
          <cell r="D562" t="str">
            <v>4810</v>
          </cell>
        </row>
        <row r="563">
          <cell r="B563" t="str">
            <v>04E03</v>
          </cell>
          <cell r="C563" t="str">
            <v xml:space="preserve">      Major generator overhaul (720 hours or longer) (use for non-specific overhaul only; see page B-1)</v>
          </cell>
          <cell r="D563" t="str">
            <v>4830</v>
          </cell>
        </row>
        <row r="564">
          <cell r="B564" t="str">
            <v>04E04</v>
          </cell>
          <cell r="C564" t="str">
            <v xml:space="preserve">      Minor generator overhaul (less than 720 hours) (use for non-specific overhaul only; see page B-1)</v>
          </cell>
          <cell r="D564" t="str">
            <v>4831</v>
          </cell>
        </row>
        <row r="565">
          <cell r="B565" t="str">
            <v>04E05</v>
          </cell>
          <cell r="C565" t="str">
            <v xml:space="preserve">      Inspection </v>
          </cell>
          <cell r="D565" t="str">
            <v>4840</v>
          </cell>
        </row>
        <row r="566">
          <cell r="B566" t="str">
            <v>04E06</v>
          </cell>
          <cell r="C566" t="str">
            <v xml:space="preserve">      Generator doble testing</v>
          </cell>
          <cell r="D566" t="str">
            <v>4841</v>
          </cell>
        </row>
        <row r="567">
          <cell r="B567" t="str">
            <v>04E07</v>
          </cell>
          <cell r="C567" t="str">
            <v xml:space="preserve">      Core monitor alarm </v>
          </cell>
          <cell r="D567" t="str">
            <v>4850</v>
          </cell>
        </row>
        <row r="568">
          <cell r="B568" t="str">
            <v>04E08</v>
          </cell>
          <cell r="C568" t="str">
            <v xml:space="preserve">      Other miscellaneous generator problems</v>
          </cell>
          <cell r="D568" t="str">
            <v>4899</v>
          </cell>
        </row>
        <row r="569">
          <cell r="B569" t="str">
            <v>05</v>
          </cell>
          <cell r="C569" t="str">
            <v>GAS TURBINE</v>
          </cell>
        </row>
        <row r="570">
          <cell r="B570" t="str">
            <v>05A</v>
          </cell>
          <cell r="C570" t="str">
            <v xml:space="preserve">   Inlet Air System and Compressors (use HP compressor if only one) </v>
          </cell>
        </row>
        <row r="571">
          <cell r="B571" t="str">
            <v>05A01</v>
          </cell>
          <cell r="C571" t="str">
            <v xml:space="preserve">      Inlet air ducts </v>
          </cell>
          <cell r="D571" t="str">
            <v>5000</v>
          </cell>
        </row>
        <row r="572">
          <cell r="B572" t="str">
            <v>05A02</v>
          </cell>
          <cell r="C572" t="str">
            <v xml:space="preserve">      Inlet air vanes </v>
          </cell>
          <cell r="D572" t="str">
            <v>5001</v>
          </cell>
        </row>
        <row r="573">
          <cell r="B573" t="str">
            <v>05A03</v>
          </cell>
          <cell r="C573" t="str">
            <v xml:space="preserve">      Inlet air filters </v>
          </cell>
          <cell r="D573" t="str">
            <v>5002</v>
          </cell>
        </row>
        <row r="574">
          <cell r="B574" t="str">
            <v>05A04</v>
          </cell>
          <cell r="C574" t="str">
            <v xml:space="preserve">      Inlet cone </v>
          </cell>
          <cell r="D574" t="str">
            <v>5003</v>
          </cell>
        </row>
        <row r="575">
          <cell r="B575" t="str">
            <v>05A05</v>
          </cell>
          <cell r="C575" t="str">
            <v xml:space="preserve">      Other inlet air problems</v>
          </cell>
          <cell r="D575" t="str">
            <v>5009</v>
          </cell>
        </row>
        <row r="576">
          <cell r="B576" t="str">
            <v>05A06</v>
          </cell>
          <cell r="C576" t="str">
            <v xml:space="preserve">      High pressure shaft </v>
          </cell>
          <cell r="D576" t="str">
            <v>5010</v>
          </cell>
        </row>
        <row r="577">
          <cell r="B577" t="str">
            <v>05A07</v>
          </cell>
          <cell r="C577" t="str">
            <v xml:space="preserve">      High pressure bearings </v>
          </cell>
          <cell r="D577" t="str">
            <v>5011</v>
          </cell>
        </row>
        <row r="578">
          <cell r="B578" t="str">
            <v>05A08</v>
          </cell>
          <cell r="C578" t="str">
            <v xml:space="preserve">      High pressure blades/buckets </v>
          </cell>
          <cell r="D578" t="str">
            <v>5012</v>
          </cell>
        </row>
        <row r="579">
          <cell r="B579" t="str">
            <v>05A09</v>
          </cell>
          <cell r="C579" t="str">
            <v xml:space="preserve">      Compressor casing and bolts </v>
          </cell>
          <cell r="D579" t="str">
            <v>5013</v>
          </cell>
        </row>
        <row r="580">
          <cell r="B580" t="str">
            <v>05A10</v>
          </cell>
          <cell r="C580" t="str">
            <v xml:space="preserve">      Compressor diaphragms </v>
          </cell>
          <cell r="D580" t="str">
            <v>5014</v>
          </cell>
        </row>
        <row r="581">
          <cell r="B581" t="str">
            <v>05A11</v>
          </cell>
          <cell r="C581" t="str">
            <v xml:space="preserve">      Compressor seals </v>
          </cell>
          <cell r="D581" t="str">
            <v>5015</v>
          </cell>
        </row>
        <row r="582">
          <cell r="B582" t="str">
            <v>05A12</v>
          </cell>
          <cell r="C582" t="str">
            <v xml:space="preserve">      Compressor bleed valves </v>
          </cell>
          <cell r="D582" t="str">
            <v>5016</v>
          </cell>
        </row>
        <row r="583">
          <cell r="B583" t="str">
            <v>05A13</v>
          </cell>
          <cell r="C583" t="str">
            <v xml:space="preserve">      Other high pressure problems </v>
          </cell>
          <cell r="D583" t="str">
            <v>5019</v>
          </cell>
        </row>
        <row r="584">
          <cell r="B584" t="str">
            <v>05A14</v>
          </cell>
          <cell r="C584" t="str">
            <v xml:space="preserve">      Low pressure shaft </v>
          </cell>
          <cell r="D584" t="str">
            <v>5020</v>
          </cell>
        </row>
        <row r="585">
          <cell r="B585" t="str">
            <v>05A15</v>
          </cell>
          <cell r="C585" t="str">
            <v xml:space="preserve">      Low pressure bearings </v>
          </cell>
          <cell r="D585" t="str">
            <v>5021</v>
          </cell>
        </row>
        <row r="586">
          <cell r="B586" t="str">
            <v>05A16</v>
          </cell>
          <cell r="C586" t="str">
            <v xml:space="preserve">      Low pressure blades/buckets </v>
          </cell>
          <cell r="D586" t="str">
            <v>5022</v>
          </cell>
        </row>
        <row r="587">
          <cell r="B587" t="str">
            <v>05A17</v>
          </cell>
          <cell r="C587" t="str">
            <v xml:space="preserve">      Other low pressure problems </v>
          </cell>
          <cell r="D587" t="str">
            <v>5029</v>
          </cell>
        </row>
        <row r="588">
          <cell r="B588" t="str">
            <v>05A18</v>
          </cell>
          <cell r="C588" t="str">
            <v xml:space="preserve">      Supercharging fans</v>
          </cell>
          <cell r="D588" t="str">
            <v>5030</v>
          </cell>
        </row>
        <row r="589">
          <cell r="B589" t="str">
            <v>05B</v>
          </cell>
          <cell r="C589" t="str">
            <v xml:space="preserve">   Fuel, Ignition, and Combustion Systems</v>
          </cell>
        </row>
        <row r="590">
          <cell r="B590" t="str">
            <v>05B01</v>
          </cell>
          <cell r="C590" t="str">
            <v xml:space="preserve">      Fuel tanks </v>
          </cell>
          <cell r="D590" t="str">
            <v>5040</v>
          </cell>
        </row>
        <row r="591">
          <cell r="B591" t="str">
            <v>05B02</v>
          </cell>
          <cell r="C591" t="str">
            <v xml:space="preserve">      Fuel piping and valves </v>
          </cell>
          <cell r="D591" t="str">
            <v>5041</v>
          </cell>
        </row>
        <row r="592">
          <cell r="B592" t="str">
            <v>05B03</v>
          </cell>
          <cell r="C592" t="str">
            <v xml:space="preserve">      Fuel nozzles </v>
          </cell>
          <cell r="D592" t="str">
            <v>5042</v>
          </cell>
        </row>
        <row r="593">
          <cell r="B593" t="str">
            <v>05B04</v>
          </cell>
          <cell r="C593" t="str">
            <v xml:space="preserve">      Fuel filters </v>
          </cell>
          <cell r="D593" t="str">
            <v>5043</v>
          </cell>
        </row>
        <row r="594">
          <cell r="B594" t="str">
            <v>05B05</v>
          </cell>
          <cell r="C594" t="str">
            <v xml:space="preserve">      Liquid fuel oil pump </v>
          </cell>
          <cell r="D594" t="str">
            <v>5044</v>
          </cell>
        </row>
        <row r="595">
          <cell r="B595" t="str">
            <v>05B06</v>
          </cell>
          <cell r="C595" t="str">
            <v xml:space="preserve">      Liquid fuel oil transfer/forwarding pump </v>
          </cell>
          <cell r="D595" t="str">
            <v>5046</v>
          </cell>
        </row>
        <row r="596">
          <cell r="B596" t="str">
            <v>05B07</v>
          </cell>
          <cell r="C596" t="str">
            <v xml:space="preserve">      Gas fuel system </v>
          </cell>
          <cell r="D596" t="str">
            <v>5048</v>
          </cell>
        </row>
        <row r="597">
          <cell r="B597" t="str">
            <v>05B08</v>
          </cell>
          <cell r="C597" t="str">
            <v xml:space="preserve">      Other fuel system problems </v>
          </cell>
          <cell r="D597" t="str">
            <v>5049</v>
          </cell>
        </row>
        <row r="598">
          <cell r="B598" t="str">
            <v>05B09</v>
          </cell>
          <cell r="C598" t="str">
            <v xml:space="preserve">      Ignition system </v>
          </cell>
          <cell r="D598" t="str">
            <v>5050</v>
          </cell>
        </row>
        <row r="599">
          <cell r="B599" t="str">
            <v>05B10</v>
          </cell>
          <cell r="C599" t="str">
            <v xml:space="preserve">      Atomizing air system </v>
          </cell>
          <cell r="D599" t="str">
            <v>5060</v>
          </cell>
        </row>
        <row r="600">
          <cell r="B600" t="str">
            <v>05B11</v>
          </cell>
          <cell r="C600" t="str">
            <v xml:space="preserve">      Combustor casing </v>
          </cell>
          <cell r="D600" t="str">
            <v>5070</v>
          </cell>
        </row>
        <row r="601">
          <cell r="B601" t="str">
            <v>05B12</v>
          </cell>
          <cell r="C601" t="str">
            <v xml:space="preserve">      Combustor liner </v>
          </cell>
          <cell r="D601" t="str">
            <v>5071</v>
          </cell>
        </row>
        <row r="602">
          <cell r="B602" t="str">
            <v>05B13</v>
          </cell>
          <cell r="C602" t="str">
            <v xml:space="preserve">      Combustor caps </v>
          </cell>
          <cell r="D602" t="str">
            <v>5072</v>
          </cell>
        </row>
        <row r="603">
          <cell r="B603" t="str">
            <v>05B14</v>
          </cell>
          <cell r="C603" t="str">
            <v xml:space="preserve">      Flame scanners </v>
          </cell>
          <cell r="D603" t="str">
            <v>5073</v>
          </cell>
        </row>
        <row r="604">
          <cell r="B604" t="str">
            <v>05B15</v>
          </cell>
          <cell r="C604" t="str">
            <v xml:space="preserve">      Other combustor problems</v>
          </cell>
          <cell r="D604" t="str">
            <v>5079</v>
          </cell>
        </row>
        <row r="605">
          <cell r="B605" t="str">
            <v>05C</v>
          </cell>
          <cell r="C605" t="str">
            <v xml:space="preserve">   Turbine (use HP if only one)</v>
          </cell>
        </row>
        <row r="606">
          <cell r="B606" t="str">
            <v>05C01</v>
          </cell>
          <cell r="C606" t="str">
            <v xml:space="preserve">      High pressure shaft </v>
          </cell>
          <cell r="D606" t="str">
            <v>5080</v>
          </cell>
        </row>
        <row r="607">
          <cell r="B607" t="str">
            <v>05C02</v>
          </cell>
          <cell r="C607" t="str">
            <v xml:space="preserve">      High pressure bearings </v>
          </cell>
          <cell r="D607" t="str">
            <v>5081</v>
          </cell>
        </row>
        <row r="608">
          <cell r="B608" t="str">
            <v>05C03</v>
          </cell>
          <cell r="C608" t="str">
            <v xml:space="preserve">      High pressure blades/buckets </v>
          </cell>
          <cell r="D608" t="str">
            <v>5082</v>
          </cell>
        </row>
        <row r="609">
          <cell r="B609" t="str">
            <v>05C04</v>
          </cell>
          <cell r="C609" t="str">
            <v xml:space="preserve">      High pressure nozzles </v>
          </cell>
          <cell r="D609" t="str">
            <v>5083</v>
          </cell>
        </row>
        <row r="610">
          <cell r="B610" t="str">
            <v>05C05</v>
          </cell>
          <cell r="C610" t="str">
            <v xml:space="preserve">      High pressure casing/expansion joints </v>
          </cell>
          <cell r="D610" t="str">
            <v>5084</v>
          </cell>
        </row>
        <row r="611">
          <cell r="B611" t="str">
            <v>05C06</v>
          </cell>
          <cell r="C611" t="str">
            <v xml:space="preserve">      Interstage gas passages ? HP</v>
          </cell>
          <cell r="D611" t="str">
            <v>5085</v>
          </cell>
        </row>
        <row r="612">
          <cell r="B612" t="str">
            <v>05C07</v>
          </cell>
          <cell r="C612" t="str">
            <v xml:space="preserve">      High pressure shaft seals </v>
          </cell>
          <cell r="D612" t="str">
            <v>5086</v>
          </cell>
        </row>
        <row r="613">
          <cell r="B613" t="str">
            <v>05C08</v>
          </cell>
          <cell r="C613" t="str">
            <v xml:space="preserve">      Other high pressure problems </v>
          </cell>
          <cell r="D613" t="str">
            <v>5089</v>
          </cell>
        </row>
        <row r="614">
          <cell r="B614" t="str">
            <v>05C09</v>
          </cell>
          <cell r="C614" t="str">
            <v xml:space="preserve">      Low pressure shaft </v>
          </cell>
          <cell r="D614" t="str">
            <v>5090</v>
          </cell>
        </row>
        <row r="615">
          <cell r="B615" t="str">
            <v>05C10</v>
          </cell>
          <cell r="C615" t="str">
            <v xml:space="preserve">      Low pressure bearings </v>
          </cell>
          <cell r="D615" t="str">
            <v>5091</v>
          </cell>
        </row>
        <row r="616">
          <cell r="B616" t="str">
            <v>05C11</v>
          </cell>
          <cell r="C616" t="str">
            <v xml:space="preserve">      Low pressure blades/buckets </v>
          </cell>
          <cell r="D616" t="str">
            <v>5092</v>
          </cell>
        </row>
        <row r="617">
          <cell r="B617" t="str">
            <v>05C12</v>
          </cell>
          <cell r="C617" t="str">
            <v xml:space="preserve">      Low pressure nozzles </v>
          </cell>
          <cell r="D617" t="str">
            <v>5093</v>
          </cell>
        </row>
        <row r="618">
          <cell r="B618" t="str">
            <v>05C13</v>
          </cell>
          <cell r="C618" t="str">
            <v xml:space="preserve">      Low pressure casing/expansion joints </v>
          </cell>
          <cell r="D618" t="str">
            <v>5094</v>
          </cell>
        </row>
        <row r="619">
          <cell r="B619" t="str">
            <v>05C14</v>
          </cell>
          <cell r="C619" t="str">
            <v xml:space="preserve">      Interstage gas passages ? LP</v>
          </cell>
          <cell r="D619" t="str">
            <v>5095</v>
          </cell>
        </row>
        <row r="620">
          <cell r="B620" t="str">
            <v>05C15</v>
          </cell>
          <cell r="C620" t="str">
            <v xml:space="preserve">      Low pressure shaft seals </v>
          </cell>
          <cell r="D620" t="str">
            <v>5096</v>
          </cell>
        </row>
        <row r="621">
          <cell r="B621" t="str">
            <v>05C16</v>
          </cell>
          <cell r="C621" t="str">
            <v xml:space="preserve">      Other low pressure problems </v>
          </cell>
          <cell r="D621" t="str">
            <v>5097</v>
          </cell>
        </row>
        <row r="622">
          <cell r="B622" t="str">
            <v>05C17</v>
          </cell>
          <cell r="C622" t="str">
            <v xml:space="preserve">      Expansion joints </v>
          </cell>
          <cell r="D622" t="str">
            <v>5098</v>
          </cell>
        </row>
        <row r="623">
          <cell r="B623" t="str">
            <v>05C18</v>
          </cell>
          <cell r="C623" t="str">
            <v xml:space="preserve">      HP to LP coupling</v>
          </cell>
          <cell r="D623" t="str">
            <v>5099</v>
          </cell>
        </row>
        <row r="624">
          <cell r="B624" t="str">
            <v>05D</v>
          </cell>
          <cell r="C624" t="str">
            <v xml:space="preserve">   Exhaust Systems</v>
          </cell>
        </row>
        <row r="625">
          <cell r="B625" t="str">
            <v>05D01</v>
          </cell>
          <cell r="C625" t="str">
            <v xml:space="preserve">      Chamber </v>
          </cell>
          <cell r="D625" t="str">
            <v>5100</v>
          </cell>
        </row>
        <row r="626">
          <cell r="B626" t="str">
            <v>05D02</v>
          </cell>
          <cell r="C626" t="str">
            <v xml:space="preserve">      Hoods </v>
          </cell>
          <cell r="D626" t="str">
            <v>5101</v>
          </cell>
        </row>
        <row r="627">
          <cell r="B627" t="str">
            <v>05D03</v>
          </cell>
          <cell r="C627" t="str">
            <v xml:space="preserve">      Vanes </v>
          </cell>
          <cell r="D627" t="str">
            <v>5102</v>
          </cell>
        </row>
        <row r="628">
          <cell r="B628" t="str">
            <v>05D04</v>
          </cell>
          <cell r="C628" t="str">
            <v xml:space="preserve">      Silencer </v>
          </cell>
          <cell r="D628" t="str">
            <v>5103</v>
          </cell>
        </row>
        <row r="629">
          <cell r="B629" t="str">
            <v>05D05</v>
          </cell>
          <cell r="C629" t="str">
            <v xml:space="preserve">      Cones </v>
          </cell>
          <cell r="D629" t="str">
            <v>5104</v>
          </cell>
        </row>
        <row r="630">
          <cell r="B630" t="str">
            <v>05D06</v>
          </cell>
          <cell r="C630" t="str">
            <v xml:space="preserve">      High engine exhaust temperature </v>
          </cell>
          <cell r="D630" t="str">
            <v>5108</v>
          </cell>
        </row>
        <row r="631">
          <cell r="B631" t="str">
            <v>05D07</v>
          </cell>
          <cell r="C631" t="str">
            <v xml:space="preserve">      Other exhaust problems (including high exhaust system temperature not attributable to a specific problem)</v>
          </cell>
          <cell r="D631" t="str">
            <v>5109</v>
          </cell>
        </row>
        <row r="632">
          <cell r="B632" t="str">
            <v>05E</v>
          </cell>
          <cell r="C632" t="str">
            <v xml:space="preserve">   Auxiliary Systems</v>
          </cell>
        </row>
        <row r="633">
          <cell r="B633" t="str">
            <v>05E01</v>
          </cell>
          <cell r="C633" t="str">
            <v xml:space="preserve">      Lube oil system - general </v>
          </cell>
          <cell r="D633" t="str">
            <v>5110</v>
          </cell>
        </row>
        <row r="634">
          <cell r="B634" t="str">
            <v>05E02</v>
          </cell>
          <cell r="C634" t="str">
            <v xml:space="preserve">      Lube oil pumps </v>
          </cell>
          <cell r="D634" t="str">
            <v>5111</v>
          </cell>
        </row>
        <row r="635">
          <cell r="B635" t="str">
            <v>05E03</v>
          </cell>
          <cell r="C635" t="str">
            <v xml:space="preserve">      Lube oil coolers </v>
          </cell>
          <cell r="D635" t="str">
            <v>5112</v>
          </cell>
        </row>
        <row r="636">
          <cell r="B636" t="str">
            <v>05E04</v>
          </cell>
          <cell r="C636" t="str">
            <v xml:space="preserve">      Lube oil valves/piping </v>
          </cell>
          <cell r="D636" t="str">
            <v>5113</v>
          </cell>
        </row>
        <row r="637">
          <cell r="B637" t="str">
            <v>05E05</v>
          </cell>
          <cell r="C637" t="str">
            <v xml:space="preserve">      Lube oil filters </v>
          </cell>
          <cell r="D637" t="str">
            <v>5114</v>
          </cell>
        </row>
        <row r="638">
          <cell r="B638" t="str">
            <v>05E06</v>
          </cell>
          <cell r="C638" t="str">
            <v xml:space="preserve">      Oil vapor extractor </v>
          </cell>
          <cell r="D638" t="str">
            <v>5115</v>
          </cell>
        </row>
        <row r="639">
          <cell r="B639" t="str">
            <v>05E07</v>
          </cell>
          <cell r="C639" t="str">
            <v xml:space="preserve">      Hydraulic oil system </v>
          </cell>
          <cell r="D639" t="str">
            <v>5120</v>
          </cell>
        </row>
        <row r="640">
          <cell r="B640" t="str">
            <v>05E08</v>
          </cell>
          <cell r="C640" t="str">
            <v xml:space="preserve">      Starting system (including motor) </v>
          </cell>
          <cell r="D640" t="str">
            <v>5130</v>
          </cell>
        </row>
        <row r="641">
          <cell r="B641" t="str">
            <v>05E09</v>
          </cell>
          <cell r="C641" t="str">
            <v xml:space="preserve">      Battery and charger system </v>
          </cell>
          <cell r="D641" t="str">
            <v>5140</v>
          </cell>
        </row>
        <row r="642">
          <cell r="B642" t="str">
            <v>05E10</v>
          </cell>
          <cell r="C642" t="str">
            <v xml:space="preserve">      Turning gear and motor </v>
          </cell>
          <cell r="D642" t="str">
            <v>5150</v>
          </cell>
        </row>
        <row r="643">
          <cell r="B643" t="str">
            <v>05E11</v>
          </cell>
          <cell r="C643" t="str">
            <v xml:space="preserve">      Cooling and seal air system </v>
          </cell>
          <cell r="D643" t="str">
            <v>5160</v>
          </cell>
        </row>
        <row r="644">
          <cell r="B644" t="str">
            <v>05E12</v>
          </cell>
          <cell r="C644" t="str">
            <v xml:space="preserve">      Cooling water system </v>
          </cell>
          <cell r="D644" t="str">
            <v>5170</v>
          </cell>
        </row>
        <row r="645">
          <cell r="B645" t="str">
            <v>05E13</v>
          </cell>
          <cell r="C645" t="str">
            <v xml:space="preserve">      Anti-icing system </v>
          </cell>
          <cell r="D645" t="str">
            <v>5180</v>
          </cell>
        </row>
        <row r="646">
          <cell r="B646" t="str">
            <v>05E14</v>
          </cell>
          <cell r="C646" t="str">
            <v xml:space="preserve">      Other auxiliary system problems</v>
          </cell>
          <cell r="D646" t="str">
            <v>5190</v>
          </cell>
        </row>
        <row r="647">
          <cell r="B647" t="str">
            <v>05F</v>
          </cell>
          <cell r="C647" t="str">
            <v xml:space="preserve">   Miscellaneous (Gas Turbine)</v>
          </cell>
        </row>
        <row r="648">
          <cell r="B648" t="str">
            <v>05F01</v>
          </cell>
          <cell r="C648" t="str">
            <v xml:space="preserve">      Reduction gear </v>
          </cell>
          <cell r="D648" t="str">
            <v>5200</v>
          </cell>
        </row>
        <row r="649">
          <cell r="B649" t="str">
            <v>05F02</v>
          </cell>
          <cell r="C649" t="str">
            <v xml:space="preserve">      Load shaft and bearings </v>
          </cell>
          <cell r="D649" t="str">
            <v>5201</v>
          </cell>
        </row>
        <row r="650">
          <cell r="B650" t="str">
            <v>05F03</v>
          </cell>
          <cell r="C650" t="str">
            <v xml:space="preserve">      Intercoolers </v>
          </cell>
          <cell r="D650" t="str">
            <v>5210</v>
          </cell>
        </row>
        <row r="651">
          <cell r="B651" t="str">
            <v>05F04</v>
          </cell>
          <cell r="C651" t="str">
            <v xml:space="preserve">      Regenerators </v>
          </cell>
          <cell r="D651" t="str">
            <v>5220</v>
          </cell>
        </row>
        <row r="652">
          <cell r="B652" t="str">
            <v>05F05</v>
          </cell>
          <cell r="C652" t="str">
            <v xml:space="preserve">      Heat shields </v>
          </cell>
          <cell r="D652" t="str">
            <v>5230</v>
          </cell>
        </row>
        <row r="653">
          <cell r="B653" t="str">
            <v>05F06</v>
          </cell>
          <cell r="C653" t="str">
            <v xml:space="preserve">      Fire detection and extinguishing system </v>
          </cell>
          <cell r="D653" t="str">
            <v>5240</v>
          </cell>
        </row>
        <row r="654">
          <cell r="B654" t="str">
            <v>05F07</v>
          </cell>
          <cell r="C654" t="str">
            <v xml:space="preserve">      Fire in unit </v>
          </cell>
          <cell r="D654" t="str">
            <v>5241</v>
          </cell>
        </row>
        <row r="655">
          <cell r="B655" t="str">
            <v>05F08</v>
          </cell>
          <cell r="C655" t="str">
            <v xml:space="preserve">      Controls and instrumentation </v>
          </cell>
          <cell r="D655" t="str">
            <v>5250</v>
          </cell>
        </row>
        <row r="656">
          <cell r="B656" t="str">
            <v>05F09</v>
          </cell>
          <cell r="C656" t="str">
            <v xml:space="preserve">      Computer </v>
          </cell>
          <cell r="D656" t="str">
            <v>5255</v>
          </cell>
        </row>
        <row r="657">
          <cell r="B657" t="str">
            <v>05F10</v>
          </cell>
          <cell r="C657" t="str">
            <v xml:space="preserve">      Major overhaul (use for non-specific overhaul only; see page B-1) </v>
          </cell>
          <cell r="D657" t="str">
            <v>5260</v>
          </cell>
        </row>
        <row r="658">
          <cell r="B658" t="str">
            <v>05F11</v>
          </cell>
          <cell r="C658" t="str">
            <v xml:space="preserve">      Gas turbine cleaning </v>
          </cell>
          <cell r="D658" t="str">
            <v>5261</v>
          </cell>
        </row>
        <row r="659">
          <cell r="B659" t="str">
            <v>05F12</v>
          </cell>
          <cell r="C659" t="str">
            <v xml:space="preserve">      Gas turbine exchange </v>
          </cell>
          <cell r="D659" t="str">
            <v>5262</v>
          </cell>
        </row>
        <row r="660">
          <cell r="B660" t="str">
            <v>05F13</v>
          </cell>
          <cell r="C660" t="str">
            <v xml:space="preserve">      Hot end inspection </v>
          </cell>
          <cell r="D660" t="str">
            <v>5270</v>
          </cell>
        </row>
        <row r="661">
          <cell r="B661" t="str">
            <v>05F14</v>
          </cell>
          <cell r="C661" t="str">
            <v xml:space="preserve">      Boroscope inspection </v>
          </cell>
          <cell r="D661" t="str">
            <v>5272</v>
          </cell>
        </row>
        <row r="662">
          <cell r="B662" t="str">
            <v>05F15</v>
          </cell>
          <cell r="C662" t="str">
            <v xml:space="preserve">      General unit inspection </v>
          </cell>
          <cell r="D662" t="str">
            <v>5274</v>
          </cell>
        </row>
        <row r="663">
          <cell r="B663" t="str">
            <v>05F16</v>
          </cell>
          <cell r="C663" t="str">
            <v xml:space="preserve">      Vibration (not engine) in unit not attributable to bearings or other components </v>
          </cell>
          <cell r="D663" t="str">
            <v>5280</v>
          </cell>
        </row>
        <row r="664">
          <cell r="B664" t="str">
            <v>05F17</v>
          </cell>
          <cell r="C664" t="str">
            <v xml:space="preserve">      Gas turbine vibration </v>
          </cell>
          <cell r="D664" t="str">
            <v>5285</v>
          </cell>
        </row>
        <row r="665">
          <cell r="B665" t="str">
            <v>05F18</v>
          </cell>
          <cell r="C665" t="str">
            <v xml:space="preserve">      Gas turbine performance testing - individual engines (use code 9999 for total unit performance testing)</v>
          </cell>
          <cell r="D665" t="str">
            <v>5290</v>
          </cell>
        </row>
        <row r="666">
          <cell r="B666" t="str">
            <v>05F19</v>
          </cell>
          <cell r="C666" t="str">
            <v xml:space="preserve">      Other miscellaneous gas turbine problems</v>
          </cell>
          <cell r="D666" t="str">
            <v>5299</v>
          </cell>
        </row>
        <row r="667">
          <cell r="B667" t="str">
            <v>06</v>
          </cell>
          <cell r="C667" t="str">
            <v>HYDRO TURBINE/PUMP</v>
          </cell>
        </row>
        <row r="668">
          <cell r="B668" t="str">
            <v>06A</v>
          </cell>
          <cell r="C668" t="str">
            <v xml:space="preserve">   Turbine</v>
          </cell>
        </row>
        <row r="669">
          <cell r="B669" t="str">
            <v>06A01</v>
          </cell>
          <cell r="C669" t="str">
            <v xml:space="preserve">      Shaft </v>
          </cell>
          <cell r="D669" t="str">
            <v>7000</v>
          </cell>
        </row>
        <row r="670">
          <cell r="B670" t="str">
            <v>06A02</v>
          </cell>
          <cell r="C670" t="str">
            <v xml:space="preserve">      Shaft packing </v>
          </cell>
          <cell r="D670" t="str">
            <v>7001</v>
          </cell>
        </row>
        <row r="671">
          <cell r="B671" t="str">
            <v>06A03</v>
          </cell>
          <cell r="C671" t="str">
            <v xml:space="preserve">      Lube oil system (use code 7007 to report bearing failures due to lube oil problems)</v>
          </cell>
          <cell r="D671" t="str">
            <v>7003</v>
          </cell>
        </row>
        <row r="672">
          <cell r="B672" t="str">
            <v>06A04</v>
          </cell>
          <cell r="C672" t="str">
            <v xml:space="preserve">      Bearings </v>
          </cell>
          <cell r="D672" t="str">
            <v>7007</v>
          </cell>
        </row>
        <row r="673">
          <cell r="B673" t="str">
            <v>06A05</v>
          </cell>
          <cell r="C673" t="str">
            <v xml:space="preserve">      Bearing cooling system </v>
          </cell>
          <cell r="D673" t="str">
            <v>7008</v>
          </cell>
        </row>
        <row r="674">
          <cell r="B674" t="str">
            <v>06A06</v>
          </cell>
          <cell r="C674" t="str">
            <v xml:space="preserve">      Runner cavitation damage </v>
          </cell>
          <cell r="D674" t="str">
            <v>7010</v>
          </cell>
        </row>
        <row r="675">
          <cell r="B675" t="str">
            <v>06A07</v>
          </cell>
          <cell r="C675" t="str">
            <v xml:space="preserve">      Other runner problems </v>
          </cell>
          <cell r="D675" t="str">
            <v>7011</v>
          </cell>
        </row>
        <row r="676">
          <cell r="B676" t="str">
            <v>06A08</v>
          </cell>
          <cell r="C676" t="str">
            <v xml:space="preserve">      Casing, wear ring, or liner cavitation damage </v>
          </cell>
          <cell r="D676" t="str">
            <v>7012</v>
          </cell>
        </row>
        <row r="677">
          <cell r="B677" t="str">
            <v>06A09</v>
          </cell>
          <cell r="C677" t="str">
            <v xml:space="preserve">      Blade or bucket cracking </v>
          </cell>
          <cell r="D677" t="str">
            <v>7014</v>
          </cell>
        </row>
        <row r="678">
          <cell r="B678" t="str">
            <v>06A10</v>
          </cell>
          <cell r="C678" t="str">
            <v xml:space="preserve">      Nozzle assembly </v>
          </cell>
          <cell r="D678" t="str">
            <v>7020</v>
          </cell>
        </row>
        <row r="679">
          <cell r="B679" t="str">
            <v>06A11</v>
          </cell>
          <cell r="C679" t="str">
            <v xml:space="preserve">      Vibration (Only for unbalance, report bearing failure, etc., in appropriate category)</v>
          </cell>
          <cell r="D679" t="str">
            <v>7030</v>
          </cell>
        </row>
        <row r="680">
          <cell r="B680" t="str">
            <v>06A12</v>
          </cell>
          <cell r="C680" t="str">
            <v xml:space="preserve">      Turbine overhaul </v>
          </cell>
          <cell r="D680" t="str">
            <v>7040</v>
          </cell>
        </row>
        <row r="681">
          <cell r="B681" t="str">
            <v>06A13</v>
          </cell>
          <cell r="C681" t="str">
            <v xml:space="preserve">      Turbine governor </v>
          </cell>
          <cell r="D681" t="str">
            <v>7050</v>
          </cell>
        </row>
        <row r="682">
          <cell r="B682" t="str">
            <v>06A14</v>
          </cell>
          <cell r="C682" t="str">
            <v xml:space="preserve">      Other turbine control problems</v>
          </cell>
          <cell r="D682" t="str">
            <v>7052</v>
          </cell>
        </row>
        <row r="683">
          <cell r="B683" t="str">
            <v>06A15</v>
          </cell>
          <cell r="C683" t="str">
            <v xml:space="preserve">      Other turbine problems</v>
          </cell>
          <cell r="D683" t="str">
            <v>7099</v>
          </cell>
        </row>
        <row r="684">
          <cell r="B684" t="str">
            <v>06B</v>
          </cell>
          <cell r="C684" t="str">
            <v xml:space="preserve">   Water Supply/Discharge</v>
          </cell>
        </row>
        <row r="685">
          <cell r="B685" t="str">
            <v>06B01</v>
          </cell>
          <cell r="C685" t="str">
            <v xml:space="preserve">      Upper reservoir dams and dikes </v>
          </cell>
          <cell r="D685" t="str">
            <v>7100</v>
          </cell>
        </row>
        <row r="686">
          <cell r="B686" t="str">
            <v>06B02</v>
          </cell>
          <cell r="C686" t="str">
            <v xml:space="preserve">      Lower reservoir dams and dikes </v>
          </cell>
          <cell r="D686" t="str">
            <v>7101</v>
          </cell>
        </row>
        <row r="687">
          <cell r="B687" t="str">
            <v>06B03</v>
          </cell>
          <cell r="C687" t="str">
            <v xml:space="preserve">      Auxiliary reservoir dams and dikes </v>
          </cell>
          <cell r="D687" t="str">
            <v>7102</v>
          </cell>
        </row>
        <row r="688">
          <cell r="B688" t="str">
            <v>06B04</v>
          </cell>
          <cell r="C688" t="str">
            <v xml:space="preserve">      Intake channel or flume (including trash racks) </v>
          </cell>
          <cell r="D688" t="str">
            <v>7110</v>
          </cell>
        </row>
        <row r="689">
          <cell r="B689" t="str">
            <v>06B05</v>
          </cell>
          <cell r="C689" t="str">
            <v xml:space="preserve">      Intake tunnel </v>
          </cell>
          <cell r="D689" t="str">
            <v>7111</v>
          </cell>
        </row>
        <row r="690">
          <cell r="B690" t="str">
            <v>06B06</v>
          </cell>
          <cell r="C690" t="str">
            <v xml:space="preserve">      Headgates </v>
          </cell>
          <cell r="D690" t="str">
            <v>7120</v>
          </cell>
        </row>
        <row r="691">
          <cell r="B691" t="str">
            <v>06B07</v>
          </cell>
          <cell r="C691" t="str">
            <v xml:space="preserve">      Shutoff valves</v>
          </cell>
          <cell r="D691" t="str">
            <v>7121</v>
          </cell>
        </row>
        <row r="692">
          <cell r="B692" t="str">
            <v>06B08</v>
          </cell>
          <cell r="C692" t="str">
            <v xml:space="preserve">      Shutoff valve bypass line and valve  </v>
          </cell>
          <cell r="D692" t="str">
            <v>7123</v>
          </cell>
        </row>
        <row r="693">
          <cell r="B693" t="str">
            <v>06B09</v>
          </cell>
          <cell r="C693" t="str">
            <v xml:space="preserve">      Penstock</v>
          </cell>
          <cell r="D693" t="str">
            <v>7124</v>
          </cell>
        </row>
        <row r="694">
          <cell r="B694" t="str">
            <v>06B10</v>
          </cell>
          <cell r="C694" t="str">
            <v xml:space="preserve">      Spiral case </v>
          </cell>
          <cell r="D694" t="str">
            <v>7130</v>
          </cell>
        </row>
        <row r="695">
          <cell r="B695" t="str">
            <v>06B11</v>
          </cell>
          <cell r="C695" t="str">
            <v xml:space="preserve">      Wicket gate assembly </v>
          </cell>
          <cell r="D695" t="str">
            <v>7140</v>
          </cell>
        </row>
        <row r="696">
          <cell r="B696" t="str">
            <v>06B12</v>
          </cell>
          <cell r="C696" t="str">
            <v xml:space="preserve">      Wicket gate operating mechanism or positioner </v>
          </cell>
          <cell r="D696" t="str">
            <v>7141</v>
          </cell>
        </row>
        <row r="697">
          <cell r="B697" t="str">
            <v>06B13</v>
          </cell>
          <cell r="C697" t="str">
            <v xml:space="preserve">      Wicket gate shear pin </v>
          </cell>
          <cell r="D697" t="str">
            <v>7142</v>
          </cell>
        </row>
        <row r="698">
          <cell r="B698" t="str">
            <v>06B14</v>
          </cell>
          <cell r="C698" t="str">
            <v xml:space="preserve">      Stay vanes </v>
          </cell>
          <cell r="D698" t="str">
            <v>7150</v>
          </cell>
        </row>
        <row r="699">
          <cell r="B699" t="str">
            <v>06B15</v>
          </cell>
          <cell r="C699" t="str">
            <v xml:space="preserve">      Pressure regulating valve </v>
          </cell>
          <cell r="D699" t="str">
            <v>7160</v>
          </cell>
        </row>
        <row r="700">
          <cell r="B700" t="str">
            <v>06B16</v>
          </cell>
          <cell r="C700" t="str">
            <v xml:space="preserve">      Pressure regulating valve operator or positioner </v>
          </cell>
          <cell r="D700" t="str">
            <v>7161</v>
          </cell>
        </row>
        <row r="701">
          <cell r="B701" t="str">
            <v>06B17</v>
          </cell>
          <cell r="C701" t="str">
            <v xml:space="preserve">      Relief valve and vacuum breakers </v>
          </cell>
          <cell r="D701" t="str">
            <v>7162</v>
          </cell>
        </row>
        <row r="702">
          <cell r="B702" t="str">
            <v>06B18</v>
          </cell>
          <cell r="C702" t="str">
            <v xml:space="preserve">      Draft tube </v>
          </cell>
          <cell r="D702" t="str">
            <v>7170</v>
          </cell>
        </row>
        <row r="703">
          <cell r="B703" t="str">
            <v>06B19</v>
          </cell>
          <cell r="C703" t="str">
            <v xml:space="preserve">      Tailrace </v>
          </cell>
          <cell r="D703" t="str">
            <v>7180</v>
          </cell>
        </row>
        <row r="704">
          <cell r="B704" t="str">
            <v>06B20</v>
          </cell>
          <cell r="C704" t="str">
            <v xml:space="preserve">      Tail water depressing equipment </v>
          </cell>
          <cell r="D704" t="str">
            <v>7181</v>
          </cell>
        </row>
        <row r="705">
          <cell r="B705" t="str">
            <v>06B21</v>
          </cell>
          <cell r="C705" t="str">
            <v xml:space="preserve">      Dewatering and rewatering equipment </v>
          </cell>
          <cell r="D705" t="str">
            <v>7190</v>
          </cell>
        </row>
        <row r="706">
          <cell r="B706" t="str">
            <v>06B22</v>
          </cell>
          <cell r="C706" t="str">
            <v xml:space="preserve">      Equalizing line </v>
          </cell>
          <cell r="D706" t="str">
            <v>7191</v>
          </cell>
        </row>
        <row r="707">
          <cell r="B707" t="str">
            <v>06B23</v>
          </cell>
          <cell r="C707" t="str">
            <v xml:space="preserve">      Other water supply/discharge problems</v>
          </cell>
          <cell r="D707" t="str">
            <v>7199</v>
          </cell>
        </row>
        <row r="708">
          <cell r="B708" t="str">
            <v>06C</v>
          </cell>
          <cell r="C708" t="str">
            <v xml:space="preserve">   Miscellaneous (Hydro Turbine/Pump)</v>
          </cell>
        </row>
        <row r="709">
          <cell r="B709" t="str">
            <v>06C01</v>
          </cell>
          <cell r="C709" t="str">
            <v xml:space="preserve">      Major overhaul (use for non-specific overhaul only; see page B-1)</v>
          </cell>
          <cell r="D709" t="str">
            <v>7200</v>
          </cell>
        </row>
        <row r="710">
          <cell r="B710" t="str">
            <v>06C02</v>
          </cell>
          <cell r="C710" t="str">
            <v xml:space="preserve">      Inspection </v>
          </cell>
          <cell r="D710" t="str">
            <v>7201</v>
          </cell>
        </row>
        <row r="711">
          <cell r="B711" t="str">
            <v>06C03</v>
          </cell>
          <cell r="C711" t="str">
            <v xml:space="preserve">      Canals (including siphons, radial gates, and spills) </v>
          </cell>
          <cell r="D711" t="str">
            <v>7210</v>
          </cell>
        </row>
        <row r="712">
          <cell r="B712" t="str">
            <v>06C04</v>
          </cell>
          <cell r="C712" t="str">
            <v xml:space="preserve">      Unit out of service due to common penstock with unit under repair </v>
          </cell>
          <cell r="D712" t="str">
            <v>7220</v>
          </cell>
        </row>
        <row r="713">
          <cell r="B713" t="str">
            <v>06C05</v>
          </cell>
          <cell r="C713" t="str">
            <v xml:space="preserve">      Pony motor (pumped storage units only) </v>
          </cell>
          <cell r="D713" t="str">
            <v>7230</v>
          </cell>
        </row>
        <row r="714">
          <cell r="B714" t="str">
            <v>06C06</v>
          </cell>
          <cell r="C714" t="str">
            <v xml:space="preserve">      Other miscellaneous hydro turbine/pump problems</v>
          </cell>
          <cell r="D714" t="str">
            <v>7299</v>
          </cell>
        </row>
        <row r="715">
          <cell r="B715" t="str">
            <v>07</v>
          </cell>
          <cell r="C715" t="str">
            <v>EXPANDER TURBINE</v>
          </cell>
        </row>
        <row r="716">
          <cell r="B716" t="str">
            <v>07A</v>
          </cell>
          <cell r="C716" t="str">
            <v xml:space="preserve">   EXPANDER TURBINE</v>
          </cell>
        </row>
        <row r="717">
          <cell r="B717" t="str">
            <v>07A01</v>
          </cell>
          <cell r="C717" t="str">
            <v xml:space="preserve">      Couplings </v>
          </cell>
          <cell r="D717" t="str">
            <v>7800</v>
          </cell>
        </row>
        <row r="718">
          <cell r="B718" t="str">
            <v>07A02</v>
          </cell>
          <cell r="C718" t="str">
            <v xml:space="preserve">      Shaft </v>
          </cell>
          <cell r="D718" t="str">
            <v>7810</v>
          </cell>
        </row>
        <row r="719">
          <cell r="B719" t="str">
            <v>07A03</v>
          </cell>
          <cell r="C719" t="str">
            <v xml:space="preserve">      Bearings </v>
          </cell>
          <cell r="D719" t="str">
            <v>7820</v>
          </cell>
        </row>
        <row r="720">
          <cell r="B720" t="str">
            <v>07A04</v>
          </cell>
          <cell r="C720" t="str">
            <v xml:space="preserve">      Blades </v>
          </cell>
          <cell r="D720" t="str">
            <v>7830</v>
          </cell>
        </row>
        <row r="721">
          <cell r="B721" t="str">
            <v>07A05</v>
          </cell>
          <cell r="C721" t="str">
            <v xml:space="preserve">      Discs </v>
          </cell>
          <cell r="D721" t="str">
            <v>7840</v>
          </cell>
        </row>
        <row r="722">
          <cell r="B722" t="str">
            <v>07A06</v>
          </cell>
          <cell r="C722" t="str">
            <v xml:space="preserve">      Spacers </v>
          </cell>
          <cell r="D722" t="str">
            <v>7850</v>
          </cell>
        </row>
        <row r="723">
          <cell r="B723" t="str">
            <v>07A07</v>
          </cell>
          <cell r="C723" t="str">
            <v xml:space="preserve">      Nozzles </v>
          </cell>
          <cell r="D723" t="str">
            <v>7860</v>
          </cell>
        </row>
        <row r="724">
          <cell r="B724" t="str">
            <v>07A08</v>
          </cell>
          <cell r="C724" t="str">
            <v xml:space="preserve">      Heat shields </v>
          </cell>
          <cell r="D724" t="str">
            <v>7870</v>
          </cell>
        </row>
        <row r="725">
          <cell r="B725" t="str">
            <v>07A09</v>
          </cell>
          <cell r="C725" t="str">
            <v xml:space="preserve">      Exhaust diffusers </v>
          </cell>
          <cell r="D725" t="str">
            <v>7880</v>
          </cell>
        </row>
        <row r="726">
          <cell r="B726" t="str">
            <v>07A10</v>
          </cell>
          <cell r="C726" t="str">
            <v xml:space="preserve">      Seal oil system and seals </v>
          </cell>
          <cell r="D726" t="str">
            <v>7890</v>
          </cell>
        </row>
        <row r="727">
          <cell r="B727" t="str">
            <v>07A11</v>
          </cell>
          <cell r="C727" t="str">
            <v xml:space="preserve">      Inner casing </v>
          </cell>
          <cell r="D727" t="str">
            <v>7900</v>
          </cell>
        </row>
        <row r="728">
          <cell r="B728" t="str">
            <v>07A12</v>
          </cell>
          <cell r="C728" t="str">
            <v xml:space="preserve">      Outer exhaust casing </v>
          </cell>
          <cell r="D728" t="str">
            <v>7910</v>
          </cell>
        </row>
        <row r="729">
          <cell r="B729" t="str">
            <v>07A13</v>
          </cell>
          <cell r="C729" t="str">
            <v xml:space="preserve">      Lube oil system </v>
          </cell>
          <cell r="D729" t="str">
            <v>7920</v>
          </cell>
        </row>
        <row r="730">
          <cell r="B730" t="str">
            <v>07A14</v>
          </cell>
          <cell r="C730" t="str">
            <v xml:space="preserve">      Controls and instrumentation </v>
          </cell>
          <cell r="D730" t="str">
            <v>7930</v>
          </cell>
        </row>
        <row r="731">
          <cell r="B731" t="str">
            <v>07A15</v>
          </cell>
          <cell r="C731" t="str">
            <v xml:space="preserve">      Evactor </v>
          </cell>
          <cell r="D731" t="str">
            <v>7940</v>
          </cell>
        </row>
        <row r="732">
          <cell r="B732" t="str">
            <v>07A16</v>
          </cell>
          <cell r="C732" t="str">
            <v xml:space="preserve">      Major overhaul </v>
          </cell>
          <cell r="D732" t="str">
            <v>7950</v>
          </cell>
        </row>
        <row r="733">
          <cell r="B733" t="str">
            <v>07A17</v>
          </cell>
          <cell r="C733" t="str">
            <v xml:space="preserve">      Other expander turbine problems</v>
          </cell>
          <cell r="D733" t="str">
            <v>7960</v>
          </cell>
        </row>
        <row r="734">
          <cell r="B734" t="str">
            <v>08</v>
          </cell>
          <cell r="C734" t="str">
            <v>POLLUTION CONTROL EQUIPMENT</v>
          </cell>
        </row>
        <row r="735">
          <cell r="B735" t="str">
            <v>08A</v>
          </cell>
          <cell r="C735" t="str">
            <v xml:space="preserve">   Wet Scrubbers</v>
          </cell>
        </row>
        <row r="736">
          <cell r="B736" t="str">
            <v>08A01</v>
          </cell>
          <cell r="C736" t="str">
            <v xml:space="preserve">      Chemical feed storage, mill feeders, and conveyors </v>
          </cell>
          <cell r="D736" t="str">
            <v>8000</v>
          </cell>
        </row>
        <row r="737">
          <cell r="B737" t="str">
            <v>08A02</v>
          </cell>
          <cell r="C737" t="str">
            <v xml:space="preserve">      Screw conveyors </v>
          </cell>
          <cell r="D737" t="str">
            <v>8002</v>
          </cell>
        </row>
        <row r="738">
          <cell r="B738" t="str">
            <v>08A03</v>
          </cell>
          <cell r="C738" t="str">
            <v xml:space="preserve">      Bucket elevators </v>
          </cell>
          <cell r="D738" t="str">
            <v>8003</v>
          </cell>
        </row>
        <row r="739">
          <cell r="B739" t="str">
            <v>08A04</v>
          </cell>
          <cell r="C739" t="str">
            <v xml:space="preserve">      Weigh feeders </v>
          </cell>
          <cell r="D739" t="str">
            <v>8006</v>
          </cell>
        </row>
        <row r="740">
          <cell r="B740" t="str">
            <v>08A05</v>
          </cell>
          <cell r="C740" t="str">
            <v xml:space="preserve">      Crushers/mills </v>
          </cell>
          <cell r="D740" t="str">
            <v>8010</v>
          </cell>
        </row>
        <row r="741">
          <cell r="B741" t="str">
            <v>08A06</v>
          </cell>
          <cell r="C741" t="str">
            <v xml:space="preserve">      Mill slurry tanks supply problems </v>
          </cell>
          <cell r="D741" t="str">
            <v>8020</v>
          </cell>
        </row>
        <row r="742">
          <cell r="B742" t="str">
            <v>08A07</v>
          </cell>
          <cell r="C742" t="str">
            <v xml:space="preserve">      Classifiers </v>
          </cell>
          <cell r="D742" t="str">
            <v>8030</v>
          </cell>
        </row>
        <row r="743">
          <cell r="B743" t="str">
            <v>08A08</v>
          </cell>
          <cell r="C743" t="str">
            <v xml:space="preserve">      Slurry transfer pumps and motors </v>
          </cell>
          <cell r="D743" t="str">
            <v>8040</v>
          </cell>
        </row>
        <row r="744">
          <cell r="B744" t="str">
            <v>08A09</v>
          </cell>
          <cell r="C744" t="str">
            <v xml:space="preserve">      Chemical unavailability </v>
          </cell>
          <cell r="D744" t="str">
            <v>8050</v>
          </cell>
        </row>
        <row r="745">
          <cell r="B745" t="str">
            <v>08A10</v>
          </cell>
          <cell r="C745" t="str">
            <v xml:space="preserve">      Other chemical supply problems</v>
          </cell>
          <cell r="D745" t="str">
            <v>8099</v>
          </cell>
        </row>
        <row r="746">
          <cell r="B746" t="str">
            <v>08A11</v>
          </cell>
          <cell r="C746" t="str">
            <v xml:space="preserve">      Scrubber/absorber tower or module </v>
          </cell>
          <cell r="D746" t="str">
            <v>8100</v>
          </cell>
        </row>
        <row r="747">
          <cell r="B747" t="str">
            <v>08A12</v>
          </cell>
          <cell r="C747" t="str">
            <v xml:space="preserve">      Spray nozzles </v>
          </cell>
          <cell r="D747" t="str">
            <v>8110</v>
          </cell>
        </row>
        <row r="748">
          <cell r="B748" t="str">
            <v>08A13</v>
          </cell>
          <cell r="C748" t="str">
            <v xml:space="preserve">      Disc scrubber throats </v>
          </cell>
          <cell r="D748" t="str">
            <v>8115</v>
          </cell>
        </row>
        <row r="749">
          <cell r="B749" t="str">
            <v>08A14</v>
          </cell>
          <cell r="C749" t="str">
            <v xml:space="preserve">      Spray pumps and motors </v>
          </cell>
          <cell r="D749" t="str">
            <v>8120</v>
          </cell>
        </row>
        <row r="750">
          <cell r="B750" t="str">
            <v>08A15</v>
          </cell>
          <cell r="C750" t="str">
            <v xml:space="preserve">      Scrubber recycle (liquid) pumps </v>
          </cell>
          <cell r="D750" t="str">
            <v>8125</v>
          </cell>
        </row>
        <row r="751">
          <cell r="B751" t="str">
            <v>08A16</v>
          </cell>
          <cell r="C751" t="str">
            <v xml:space="preserve">      Scrubber recycle (liquid) pump motors </v>
          </cell>
          <cell r="D751" t="str">
            <v>8127</v>
          </cell>
        </row>
        <row r="752">
          <cell r="B752" t="str">
            <v>08A17</v>
          </cell>
          <cell r="C752" t="str">
            <v xml:space="preserve">      Recirculation tanks including agitators </v>
          </cell>
          <cell r="D752" t="str">
            <v>8130</v>
          </cell>
        </row>
        <row r="753">
          <cell r="B753" t="str">
            <v>08A18</v>
          </cell>
          <cell r="C753" t="str">
            <v xml:space="preserve">      Reaction tanks including agitators </v>
          </cell>
          <cell r="D753" t="str">
            <v>8140</v>
          </cell>
        </row>
        <row r="754">
          <cell r="B754" t="str">
            <v>08A19</v>
          </cell>
          <cell r="C754" t="str">
            <v xml:space="preserve">      Tubes </v>
          </cell>
          <cell r="D754" t="str">
            <v>8150</v>
          </cell>
        </row>
        <row r="755">
          <cell r="B755" t="str">
            <v>08A20</v>
          </cell>
          <cell r="C755" t="str">
            <v xml:space="preserve">      Mist eliminators/demisters and washdown </v>
          </cell>
          <cell r="D755" t="str">
            <v>8160</v>
          </cell>
        </row>
        <row r="756">
          <cell r="B756" t="str">
            <v>08A21</v>
          </cell>
          <cell r="C756" t="str">
            <v xml:space="preserve">      Other scrubber problems</v>
          </cell>
          <cell r="D756" t="str">
            <v>8199</v>
          </cell>
        </row>
        <row r="757">
          <cell r="B757" t="str">
            <v>08A22</v>
          </cell>
          <cell r="C757" t="str">
            <v xml:space="preserve">      Piping </v>
          </cell>
          <cell r="D757" t="str">
            <v>8200</v>
          </cell>
        </row>
        <row r="758">
          <cell r="B758" t="str">
            <v>08A23</v>
          </cell>
          <cell r="C758" t="str">
            <v xml:space="preserve">      Valves </v>
          </cell>
          <cell r="D758" t="str">
            <v>8210</v>
          </cell>
        </row>
        <row r="759">
          <cell r="B759" t="str">
            <v>08A24</v>
          </cell>
          <cell r="C759" t="str">
            <v xml:space="preserve">      Strainers or filters </v>
          </cell>
          <cell r="D759" t="str">
            <v>8220</v>
          </cell>
        </row>
        <row r="760">
          <cell r="B760" t="str">
            <v>08A25</v>
          </cell>
          <cell r="C760" t="str">
            <v xml:space="preserve">      Drain pots </v>
          </cell>
          <cell r="D760" t="str">
            <v>8225</v>
          </cell>
        </row>
        <row r="761">
          <cell r="B761" t="str">
            <v>08A26</v>
          </cell>
          <cell r="C761" t="str">
            <v xml:space="preserve">      Ducting </v>
          </cell>
          <cell r="D761" t="str">
            <v>8230</v>
          </cell>
        </row>
        <row r="762">
          <cell r="B762" t="str">
            <v>08A27</v>
          </cell>
          <cell r="C762" t="str">
            <v xml:space="preserve">      Demister </v>
          </cell>
          <cell r="D762" t="str">
            <v>8235</v>
          </cell>
        </row>
        <row r="763">
          <cell r="B763" t="str">
            <v>08A28</v>
          </cell>
          <cell r="C763" t="str">
            <v xml:space="preserve">      Bypass dampers</v>
          </cell>
          <cell r="D763" t="str">
            <v>8240</v>
          </cell>
        </row>
        <row r="764">
          <cell r="B764" t="str">
            <v>08A29</v>
          </cell>
          <cell r="C764" t="str">
            <v xml:space="preserve">      Dampers other than bypass </v>
          </cell>
          <cell r="D764" t="str">
            <v>8250</v>
          </cell>
        </row>
        <row r="765">
          <cell r="B765" t="str">
            <v>08A30</v>
          </cell>
          <cell r="C765" t="str">
            <v xml:space="preserve">      Scrubber booster I.D. fan (fan specific to the scrubber) </v>
          </cell>
          <cell r="D765" t="str">
            <v>8260</v>
          </cell>
        </row>
        <row r="766">
          <cell r="B766" t="str">
            <v>08A31</v>
          </cell>
          <cell r="C766" t="str">
            <v xml:space="preserve">      Scrubber booster I.D. fan drive </v>
          </cell>
          <cell r="D766" t="str">
            <v>8261</v>
          </cell>
        </row>
        <row r="767">
          <cell r="B767" t="str">
            <v>08A32</v>
          </cell>
          <cell r="C767" t="str">
            <v xml:space="preserve">      Scrubber booster I.D. fan vibration (fan specific to the scrubber) </v>
          </cell>
          <cell r="D767" t="str">
            <v>8262</v>
          </cell>
        </row>
        <row r="768">
          <cell r="B768" t="str">
            <v>08A33</v>
          </cell>
          <cell r="C768" t="str">
            <v xml:space="preserve">      Scrubber booster I.D. fan blades (fan specific to the scrubber) </v>
          </cell>
          <cell r="D768" t="str">
            <v>8264</v>
          </cell>
        </row>
        <row r="769">
          <cell r="B769" t="str">
            <v>08A34</v>
          </cell>
          <cell r="C769" t="str">
            <v xml:space="preserve">      Scrubber booster F.D. fan (fan specific to the scrubber) </v>
          </cell>
          <cell r="D769" t="str">
            <v>8270</v>
          </cell>
        </row>
        <row r="770">
          <cell r="B770" t="str">
            <v>08A35</v>
          </cell>
          <cell r="C770" t="str">
            <v xml:space="preserve">      Scrubber booster F.D. fan drive </v>
          </cell>
          <cell r="D770" t="str">
            <v>8271</v>
          </cell>
        </row>
        <row r="771">
          <cell r="B771" t="str">
            <v>08A36</v>
          </cell>
          <cell r="C771" t="str">
            <v xml:space="preserve">      Scrubber booster F.D. fan vibration (fan specific to the scrubber) </v>
          </cell>
          <cell r="D771" t="str">
            <v>8272</v>
          </cell>
        </row>
        <row r="772">
          <cell r="B772" t="str">
            <v>08A37</v>
          </cell>
          <cell r="C772" t="str">
            <v xml:space="preserve">      Scrubber booster F.D. fan blades (fan specific to the scrubber) </v>
          </cell>
          <cell r="D772" t="str">
            <v>8274</v>
          </cell>
        </row>
        <row r="773">
          <cell r="B773" t="str">
            <v>08A38</v>
          </cell>
          <cell r="C773" t="str">
            <v xml:space="preserve">      Reagent feed piping </v>
          </cell>
          <cell r="D773" t="str">
            <v>8280</v>
          </cell>
        </row>
        <row r="774">
          <cell r="B774" t="str">
            <v>08A39</v>
          </cell>
          <cell r="C774" t="str">
            <v xml:space="preserve">      Demister wash piping assembly </v>
          </cell>
          <cell r="D774" t="str">
            <v>8290</v>
          </cell>
        </row>
        <row r="775">
          <cell r="B775" t="str">
            <v>08A40</v>
          </cell>
          <cell r="C775" t="str">
            <v xml:space="preserve">      Other piping, ducting, damper, and fan problems</v>
          </cell>
          <cell r="D775" t="str">
            <v>8299</v>
          </cell>
        </row>
        <row r="776">
          <cell r="B776" t="str">
            <v>08A41</v>
          </cell>
          <cell r="C776" t="str">
            <v xml:space="preserve">      Waste disposal/recovery tanks </v>
          </cell>
          <cell r="D776" t="str">
            <v>8300</v>
          </cell>
        </row>
        <row r="777">
          <cell r="B777" t="str">
            <v>08A42</v>
          </cell>
          <cell r="C777" t="str">
            <v xml:space="preserve">      Waste disposal/recovery pumps </v>
          </cell>
          <cell r="D777" t="str">
            <v>8310</v>
          </cell>
        </row>
        <row r="778">
          <cell r="B778" t="str">
            <v>08A43</v>
          </cell>
          <cell r="C778" t="str">
            <v xml:space="preserve">      Waste disposal ponds </v>
          </cell>
          <cell r="D778" t="str">
            <v>8320</v>
          </cell>
        </row>
        <row r="779">
          <cell r="B779" t="str">
            <v>08A44</v>
          </cell>
          <cell r="C779" t="str">
            <v xml:space="preserve">      Ash disposal problems </v>
          </cell>
          <cell r="D779" t="str">
            <v>8325</v>
          </cell>
        </row>
        <row r="780">
          <cell r="B780" t="str">
            <v>08A45</v>
          </cell>
          <cell r="C780" t="str">
            <v xml:space="preserve">      Dewatering equipment (thickener, centrifuge, etc.) </v>
          </cell>
          <cell r="D780" t="str">
            <v>8330</v>
          </cell>
        </row>
        <row r="781">
          <cell r="B781" t="str">
            <v>08A46</v>
          </cell>
          <cell r="C781" t="str">
            <v xml:space="preserve">      Dryers </v>
          </cell>
          <cell r="D781" t="str">
            <v>8335</v>
          </cell>
        </row>
        <row r="782">
          <cell r="B782" t="str">
            <v>08A47</v>
          </cell>
          <cell r="C782" t="str">
            <v xml:space="preserve">      Centrifuge/vacuum filter </v>
          </cell>
          <cell r="D782" t="str">
            <v>8340</v>
          </cell>
        </row>
        <row r="783">
          <cell r="B783" t="str">
            <v>08A48</v>
          </cell>
          <cell r="C783" t="str">
            <v xml:space="preserve">      Calciners </v>
          </cell>
          <cell r="D783" t="str">
            <v>8345</v>
          </cell>
        </row>
        <row r="784">
          <cell r="B784" t="str">
            <v>08A49</v>
          </cell>
          <cell r="C784" t="str">
            <v xml:space="preserve">      Other waste disposal and recovery problems </v>
          </cell>
          <cell r="D784" t="str">
            <v>8349</v>
          </cell>
        </row>
        <row r="785">
          <cell r="B785" t="str">
            <v>08A50</v>
          </cell>
          <cell r="C785" t="str">
            <v xml:space="preserve">      Solids conveying and mixing system problems</v>
          </cell>
          <cell r="D785" t="str">
            <v>8399</v>
          </cell>
        </row>
        <row r="786">
          <cell r="B786" t="str">
            <v>08A51</v>
          </cell>
          <cell r="C786" t="str">
            <v xml:space="preserve">      Scrubber gas discharge reheaters - general </v>
          </cell>
          <cell r="D786" t="str">
            <v>8400</v>
          </cell>
        </row>
        <row r="787">
          <cell r="B787" t="str">
            <v>08A52</v>
          </cell>
          <cell r="C787" t="str">
            <v xml:space="preserve">      Scrubber gas discharge reheaters - vibration </v>
          </cell>
          <cell r="D787" t="str">
            <v>8402</v>
          </cell>
        </row>
        <row r="788">
          <cell r="B788" t="str">
            <v>08A53</v>
          </cell>
          <cell r="C788" t="str">
            <v xml:space="preserve">      Scrubber gas discharge reheaters - tube leaks </v>
          </cell>
          <cell r="D788" t="str">
            <v>8404</v>
          </cell>
        </row>
        <row r="789">
          <cell r="B789" t="str">
            <v>08A54</v>
          </cell>
          <cell r="C789" t="str">
            <v xml:space="preserve">      Scrubber gas discharge reheaters - ducts </v>
          </cell>
          <cell r="D789" t="str">
            <v>8406</v>
          </cell>
        </row>
        <row r="790">
          <cell r="B790" t="str">
            <v>08A55</v>
          </cell>
          <cell r="C790" t="str">
            <v xml:space="preserve">      Scrubber instruments and controls </v>
          </cell>
          <cell r="D790" t="str">
            <v>8410</v>
          </cell>
        </row>
        <row r="791">
          <cell r="B791" t="str">
            <v>08A56</v>
          </cell>
          <cell r="C791" t="str">
            <v xml:space="preserve">      Liquid level controls </v>
          </cell>
          <cell r="D791" t="str">
            <v>8415</v>
          </cell>
        </row>
        <row r="792">
          <cell r="B792" t="str">
            <v>08A57</v>
          </cell>
          <cell r="C792" t="str">
            <v xml:space="preserve">      Heat tracer </v>
          </cell>
          <cell r="D792" t="str">
            <v>8420</v>
          </cell>
        </row>
        <row r="793">
          <cell r="B793" t="str">
            <v>08A58</v>
          </cell>
          <cell r="C793" t="str">
            <v xml:space="preserve">      Miscellaneous mechanical failures </v>
          </cell>
          <cell r="D793" t="str">
            <v>8425</v>
          </cell>
        </row>
        <row r="794">
          <cell r="B794" t="str">
            <v>08A59</v>
          </cell>
          <cell r="C794" t="str">
            <v xml:space="preserve">      Miscellaneous electrical failures </v>
          </cell>
          <cell r="D794" t="str">
            <v>8426</v>
          </cell>
        </row>
        <row r="795">
          <cell r="B795" t="str">
            <v>08A60</v>
          </cell>
          <cell r="C795" t="str">
            <v xml:space="preserve">      Stack damage related to scrubber system </v>
          </cell>
          <cell r="D795" t="str">
            <v>8430</v>
          </cell>
        </row>
        <row r="796">
          <cell r="B796" t="str">
            <v>08A61</v>
          </cell>
          <cell r="C796" t="str">
            <v xml:space="preserve">      Major overhaul </v>
          </cell>
          <cell r="D796" t="str">
            <v>8440</v>
          </cell>
        </row>
        <row r="797">
          <cell r="B797" t="str">
            <v>08A62</v>
          </cell>
          <cell r="C797" t="str">
            <v xml:space="preserve">      Inspection </v>
          </cell>
          <cell r="D797" t="str">
            <v>8450</v>
          </cell>
        </row>
        <row r="798">
          <cell r="B798" t="str">
            <v>08A63</v>
          </cell>
          <cell r="C798" t="str">
            <v xml:space="preserve">      Testing </v>
          </cell>
          <cell r="D798" t="str">
            <v>8460</v>
          </cell>
        </row>
        <row r="799">
          <cell r="B799" t="str">
            <v>08A64</v>
          </cell>
          <cell r="C799" t="str">
            <v xml:space="preserve">      SO2 monitor </v>
          </cell>
          <cell r="D799" t="str">
            <v>8470</v>
          </cell>
        </row>
        <row r="800">
          <cell r="B800" t="str">
            <v>08A65</v>
          </cell>
          <cell r="C800" t="str">
            <v xml:space="preserve">      Other miscellaneous wet scrubber problems</v>
          </cell>
          <cell r="D800" t="str">
            <v>8499</v>
          </cell>
        </row>
        <row r="801">
          <cell r="B801" t="str">
            <v>08B</v>
          </cell>
          <cell r="C801" t="str">
            <v xml:space="preserve">   Dry Scrubbers</v>
          </cell>
        </row>
        <row r="802">
          <cell r="B802" t="str">
            <v>08B01</v>
          </cell>
          <cell r="C802" t="str">
            <v xml:space="preserve">      Slurry storage and feed tanks</v>
          </cell>
          <cell r="D802" t="str">
            <v>8500</v>
          </cell>
        </row>
        <row r="803">
          <cell r="B803" t="str">
            <v>08B02</v>
          </cell>
          <cell r="C803" t="str">
            <v xml:space="preserve">      Reagent storage, feed bins, and conveyors</v>
          </cell>
          <cell r="D803" t="str">
            <v>8501</v>
          </cell>
        </row>
        <row r="804">
          <cell r="B804" t="str">
            <v>08B03</v>
          </cell>
          <cell r="C804" t="str">
            <v xml:space="preserve">      Weigh feeders</v>
          </cell>
          <cell r="D804" t="str">
            <v>8502</v>
          </cell>
        </row>
        <row r="805">
          <cell r="B805" t="str">
            <v>08B04</v>
          </cell>
          <cell r="C805" t="str">
            <v xml:space="preserve">      Screw conveyors</v>
          </cell>
          <cell r="D805" t="str">
            <v>8503</v>
          </cell>
        </row>
        <row r="806">
          <cell r="B806" t="str">
            <v>08B05</v>
          </cell>
          <cell r="C806" t="str">
            <v xml:space="preserve">      Mills/slakers</v>
          </cell>
          <cell r="D806" t="str">
            <v>8504</v>
          </cell>
        </row>
        <row r="807">
          <cell r="B807" t="str">
            <v>08B06</v>
          </cell>
          <cell r="C807" t="str">
            <v xml:space="preserve">      Scalping screens</v>
          </cell>
          <cell r="D807" t="str">
            <v>8505</v>
          </cell>
        </row>
        <row r="808">
          <cell r="B808" t="str">
            <v>08B07</v>
          </cell>
          <cell r="C808" t="str">
            <v xml:space="preserve">      Slurry pipelines</v>
          </cell>
          <cell r="D808" t="str">
            <v>8506</v>
          </cell>
        </row>
        <row r="809">
          <cell r="B809" t="str">
            <v>08B08</v>
          </cell>
          <cell r="C809" t="str">
            <v xml:space="preserve">      Reagent uploading and transfer systems</v>
          </cell>
          <cell r="D809" t="str">
            <v>8507</v>
          </cell>
        </row>
        <row r="810">
          <cell r="B810" t="str">
            <v>08B09</v>
          </cell>
          <cell r="C810" t="str">
            <v xml:space="preserve">      Reagent unavailability</v>
          </cell>
          <cell r="D810" t="str">
            <v>8508</v>
          </cell>
        </row>
        <row r="811">
          <cell r="B811" t="str">
            <v>08B10</v>
          </cell>
          <cell r="C811" t="str">
            <v xml:space="preserve">      Slurry mixers and agitators</v>
          </cell>
          <cell r="D811" t="str">
            <v>8510</v>
          </cell>
        </row>
        <row r="812">
          <cell r="B812" t="str">
            <v>08B11</v>
          </cell>
          <cell r="C812" t="str">
            <v xml:space="preserve">      Slurry transfer pumps and motors</v>
          </cell>
          <cell r="D812" t="str">
            <v>8520</v>
          </cell>
        </row>
        <row r="813">
          <cell r="B813" t="str">
            <v>08B12</v>
          </cell>
          <cell r="C813" t="str">
            <v xml:space="preserve">      Reagent/slurry problems</v>
          </cell>
          <cell r="D813" t="str">
            <v>8521</v>
          </cell>
        </row>
        <row r="814">
          <cell r="B814" t="str">
            <v>08B13</v>
          </cell>
          <cell r="C814" t="str">
            <v xml:space="preserve">      Piping</v>
          </cell>
          <cell r="D814" t="str">
            <v>8522</v>
          </cell>
        </row>
        <row r="815">
          <cell r="B815" t="str">
            <v>08B14</v>
          </cell>
          <cell r="C815" t="str">
            <v xml:space="preserve">      Valves</v>
          </cell>
          <cell r="D815" t="str">
            <v>8523</v>
          </cell>
        </row>
        <row r="816">
          <cell r="B816" t="str">
            <v>08B15</v>
          </cell>
          <cell r="C816" t="str">
            <v xml:space="preserve">      Strainers or filters</v>
          </cell>
          <cell r="D816" t="str">
            <v>8524</v>
          </cell>
        </row>
        <row r="817">
          <cell r="B817" t="str">
            <v>08B16</v>
          </cell>
          <cell r="C817" t="str">
            <v xml:space="preserve">      Ducting</v>
          </cell>
          <cell r="D817" t="str">
            <v>8525</v>
          </cell>
        </row>
        <row r="818">
          <cell r="B818" t="str">
            <v>08B17</v>
          </cell>
          <cell r="C818" t="str">
            <v xml:space="preserve">      Dampers</v>
          </cell>
          <cell r="D818" t="str">
            <v>8526</v>
          </cell>
        </row>
        <row r="819">
          <cell r="B819" t="str">
            <v>08B18</v>
          </cell>
          <cell r="C819" t="str">
            <v xml:space="preserve">      Other piping, ducting, and damper problems</v>
          </cell>
          <cell r="D819" t="str">
            <v>8527</v>
          </cell>
        </row>
        <row r="820">
          <cell r="B820" t="str">
            <v>08B19</v>
          </cell>
          <cell r="C820" t="str">
            <v xml:space="preserve">      Gas dispersers</v>
          </cell>
          <cell r="D820" t="str">
            <v>8529</v>
          </cell>
        </row>
        <row r="821">
          <cell r="B821" t="str">
            <v>08B20</v>
          </cell>
          <cell r="C821" t="str">
            <v xml:space="preserve">      Spray towers </v>
          </cell>
          <cell r="D821" t="str">
            <v>8530</v>
          </cell>
        </row>
        <row r="822">
          <cell r="B822" t="str">
            <v>08B21</v>
          </cell>
          <cell r="C822" t="str">
            <v xml:space="preserve">      Spray machine/atomizer</v>
          </cell>
          <cell r="D822" t="str">
            <v>8531</v>
          </cell>
        </row>
        <row r="823">
          <cell r="B823" t="str">
            <v>08B22</v>
          </cell>
          <cell r="C823" t="str">
            <v xml:space="preserve">      Spray machine/atomizer motors</v>
          </cell>
          <cell r="D823" t="str">
            <v>8532</v>
          </cell>
        </row>
        <row r="824">
          <cell r="B824" t="str">
            <v>08B23</v>
          </cell>
          <cell r="C824" t="str">
            <v xml:space="preserve">      Spray machine/atomizer lubrication systems</v>
          </cell>
          <cell r="D824" t="str">
            <v>8533</v>
          </cell>
        </row>
        <row r="825">
          <cell r="B825" t="str">
            <v>08B24</v>
          </cell>
          <cell r="C825" t="str">
            <v xml:space="preserve">      Spray machine/atomizer vibration problems</v>
          </cell>
          <cell r="D825" t="str">
            <v>8534</v>
          </cell>
        </row>
        <row r="826">
          <cell r="B826" t="str">
            <v>08B25</v>
          </cell>
          <cell r="C826" t="str">
            <v xml:space="preserve">      Fly ash conveyors</v>
          </cell>
          <cell r="D826" t="str">
            <v>8535</v>
          </cell>
        </row>
        <row r="827">
          <cell r="B827" t="str">
            <v>08B26</v>
          </cell>
          <cell r="C827" t="str">
            <v xml:space="preserve">      Bucket elevators</v>
          </cell>
          <cell r="D827" t="str">
            <v>8536</v>
          </cell>
        </row>
        <row r="828">
          <cell r="B828" t="str">
            <v>08B27</v>
          </cell>
          <cell r="C828" t="str">
            <v xml:space="preserve">      Weigh hoppers</v>
          </cell>
          <cell r="D828" t="str">
            <v>8537</v>
          </cell>
        </row>
        <row r="829">
          <cell r="B829" t="str">
            <v>08B28</v>
          </cell>
          <cell r="C829" t="str">
            <v xml:space="preserve">      Recycle storage and feed tanks including agitators</v>
          </cell>
          <cell r="D829" t="str">
            <v>8538</v>
          </cell>
        </row>
        <row r="830">
          <cell r="B830" t="str">
            <v>08B29</v>
          </cell>
          <cell r="C830" t="str">
            <v xml:space="preserve">      Recycle slurry transfer pumps</v>
          </cell>
          <cell r="D830" t="str">
            <v>8539</v>
          </cell>
        </row>
        <row r="831">
          <cell r="B831" t="str">
            <v>08B30</v>
          </cell>
          <cell r="C831" t="str">
            <v xml:space="preserve">      Waste disposal</v>
          </cell>
          <cell r="D831" t="str">
            <v>8540</v>
          </cell>
        </row>
        <row r="832">
          <cell r="B832" t="str">
            <v>08B31</v>
          </cell>
          <cell r="C832" t="str">
            <v xml:space="preserve">      Recycle feed bins</v>
          </cell>
          <cell r="D832" t="str">
            <v>8541</v>
          </cell>
        </row>
        <row r="833">
          <cell r="B833" t="str">
            <v>08B32</v>
          </cell>
          <cell r="C833" t="str">
            <v xml:space="preserve">      Recycle feed bins aeration systems</v>
          </cell>
          <cell r="D833" t="str">
            <v>8542</v>
          </cell>
        </row>
        <row r="834">
          <cell r="B834" t="str">
            <v>08B33</v>
          </cell>
          <cell r="C834" t="str">
            <v xml:space="preserve">      Powder coolers</v>
          </cell>
          <cell r="D834" t="str">
            <v>8543</v>
          </cell>
        </row>
        <row r="835">
          <cell r="B835" t="str">
            <v>08B34</v>
          </cell>
          <cell r="C835" t="str">
            <v xml:space="preserve">      Mechanical failures</v>
          </cell>
          <cell r="D835" t="str">
            <v>8544</v>
          </cell>
        </row>
        <row r="836">
          <cell r="B836" t="str">
            <v>08B35</v>
          </cell>
          <cell r="C836" t="str">
            <v xml:space="preserve">      Electrical failures</v>
          </cell>
          <cell r="D836" t="str">
            <v>8545</v>
          </cell>
        </row>
        <row r="837">
          <cell r="B837" t="str">
            <v>08B36</v>
          </cell>
          <cell r="C837" t="str">
            <v xml:space="preserve">      Major overhaul</v>
          </cell>
          <cell r="D837" t="str">
            <v>8546</v>
          </cell>
        </row>
        <row r="838">
          <cell r="B838" t="str">
            <v>08B37</v>
          </cell>
          <cell r="C838" t="str">
            <v xml:space="preserve">      Inspection</v>
          </cell>
          <cell r="D838" t="str">
            <v>8547</v>
          </cell>
        </row>
        <row r="839">
          <cell r="B839" t="str">
            <v>08B38</v>
          </cell>
          <cell r="C839" t="str">
            <v xml:space="preserve">      Testing</v>
          </cell>
          <cell r="D839" t="str">
            <v>8548</v>
          </cell>
        </row>
        <row r="840">
          <cell r="B840" t="str">
            <v>08B39</v>
          </cell>
          <cell r="C840" t="str">
            <v xml:space="preserve">      Other dry scrubber problems  </v>
          </cell>
          <cell r="D840" t="str">
            <v>8549</v>
          </cell>
        </row>
        <row r="841">
          <cell r="B841" t="str">
            <v>08C</v>
          </cell>
          <cell r="C841" t="str">
            <v xml:space="preserve">   Precipitators</v>
          </cell>
        </row>
        <row r="842">
          <cell r="B842" t="str">
            <v>08C01</v>
          </cell>
          <cell r="C842" t="str">
            <v xml:space="preserve">      Electrostatic precipitator fouling</v>
          </cell>
          <cell r="D842" t="str">
            <v>8550</v>
          </cell>
        </row>
        <row r="843">
          <cell r="B843" t="str">
            <v>08C02</v>
          </cell>
          <cell r="C843" t="str">
            <v xml:space="preserve">      Electrostatic precipitator field out of service</v>
          </cell>
          <cell r="D843" t="str">
            <v>8551</v>
          </cell>
        </row>
        <row r="844">
          <cell r="B844" t="str">
            <v>08C03</v>
          </cell>
          <cell r="C844" t="str">
            <v xml:space="preserve">      Electrostatic precipitator problems</v>
          </cell>
          <cell r="D844" t="str">
            <v>8560</v>
          </cell>
        </row>
        <row r="845">
          <cell r="B845" t="str">
            <v>08C04</v>
          </cell>
          <cell r="C845" t="str">
            <v xml:space="preserve">      Mechanical precipitator fouling</v>
          </cell>
          <cell r="D845" t="str">
            <v>8570</v>
          </cell>
        </row>
        <row r="846">
          <cell r="B846" t="str">
            <v>08C05</v>
          </cell>
          <cell r="C846" t="str">
            <v xml:space="preserve">      Mechanical precipitator problems</v>
          </cell>
          <cell r="D846" t="str">
            <v>8580</v>
          </cell>
        </row>
        <row r="847">
          <cell r="B847" t="str">
            <v>08C06</v>
          </cell>
          <cell r="C847" t="str">
            <v xml:space="preserve">      Other precipitator problems</v>
          </cell>
          <cell r="D847" t="str">
            <v>8590</v>
          </cell>
        </row>
        <row r="848">
          <cell r="B848" t="str">
            <v>08D</v>
          </cell>
          <cell r="C848" t="str">
            <v xml:space="preserve">   Miscellaneous (Pollution Control Equipment)</v>
          </cell>
        </row>
        <row r="849">
          <cell r="B849" t="str">
            <v>08D01</v>
          </cell>
          <cell r="C849" t="str">
            <v xml:space="preserve">      Flue gas additives (furnace injection) </v>
          </cell>
          <cell r="D849" t="str">
            <v>8600</v>
          </cell>
        </row>
        <row r="850">
          <cell r="B850" t="str">
            <v>08D02</v>
          </cell>
          <cell r="C850" t="str">
            <v xml:space="preserve">      Baghouse systems, general </v>
          </cell>
          <cell r="D850" t="str">
            <v>8650</v>
          </cell>
        </row>
        <row r="851">
          <cell r="B851" t="str">
            <v>08D03</v>
          </cell>
          <cell r="C851" t="str">
            <v xml:space="preserve">      Bag failures and rebagging </v>
          </cell>
          <cell r="D851" t="str">
            <v>8651</v>
          </cell>
        </row>
        <row r="852">
          <cell r="B852" t="str">
            <v>08D04</v>
          </cell>
          <cell r="C852" t="str">
            <v xml:space="preserve">      Shakers and rappers </v>
          </cell>
          <cell r="D852" t="str">
            <v>8652</v>
          </cell>
        </row>
        <row r="853">
          <cell r="B853" t="str">
            <v>08D05</v>
          </cell>
          <cell r="C853" t="str">
            <v xml:space="preserve">      Inflation and deflation fans and motors </v>
          </cell>
          <cell r="D853" t="str">
            <v>8653</v>
          </cell>
        </row>
        <row r="854">
          <cell r="B854" t="str">
            <v>08D06</v>
          </cell>
          <cell r="C854" t="str">
            <v xml:space="preserve">      Baghouse booster fans and motors </v>
          </cell>
          <cell r="D854" t="str">
            <v>8654</v>
          </cell>
        </row>
        <row r="855">
          <cell r="B855" t="str">
            <v>08D07</v>
          </cell>
          <cell r="C855" t="str">
            <v xml:space="preserve">      Structural duct work and dampers </v>
          </cell>
          <cell r="D855" t="str">
            <v>8655</v>
          </cell>
        </row>
        <row r="856">
          <cell r="B856" t="str">
            <v>08D08</v>
          </cell>
          <cell r="C856" t="str">
            <v xml:space="preserve">      Controls and instrumentation </v>
          </cell>
          <cell r="D856" t="str">
            <v>8656</v>
          </cell>
        </row>
        <row r="857">
          <cell r="B857" t="str">
            <v>08D09</v>
          </cell>
          <cell r="C857" t="str">
            <v xml:space="preserve">      Ash handling system and hoppers </v>
          </cell>
          <cell r="D857" t="str">
            <v>8657</v>
          </cell>
        </row>
        <row r="858">
          <cell r="B858" t="str">
            <v>08D10</v>
          </cell>
          <cell r="C858" t="str">
            <v xml:space="preserve">      Emission monitors (other than CEMS) </v>
          </cell>
          <cell r="D858" t="str">
            <v>8670</v>
          </cell>
        </row>
        <row r="859">
          <cell r="B859" t="str">
            <v>08D11</v>
          </cell>
          <cell r="C859" t="str">
            <v xml:space="preserve">      Other miscellaneous pollution control equipment problems</v>
          </cell>
          <cell r="D859" t="str">
            <v>8699</v>
          </cell>
        </row>
        <row r="860">
          <cell r="B860" t="str">
            <v>08E</v>
          </cell>
          <cell r="C860" t="str">
            <v xml:space="preserve">   Continued Emissions Monitoring Systems (CEMS)</v>
          </cell>
        </row>
        <row r="861">
          <cell r="B861" t="str">
            <v>08E01</v>
          </cell>
          <cell r="C861" t="str">
            <v xml:space="preserve">      CEMS Certification and Recertification</v>
          </cell>
          <cell r="D861" t="str">
            <v>8700</v>
          </cell>
        </row>
        <row r="862">
          <cell r="B862" t="str">
            <v>08E02</v>
          </cell>
          <cell r="C862" t="str">
            <v xml:space="preserve">      SO2 analyzer problems</v>
          </cell>
          <cell r="D862" t="str">
            <v>8710</v>
          </cell>
        </row>
        <row r="863">
          <cell r="B863" t="str">
            <v>08E03</v>
          </cell>
          <cell r="C863" t="str">
            <v xml:space="preserve">      NOx analyzer problems</v>
          </cell>
          <cell r="D863" t="str">
            <v>8720</v>
          </cell>
        </row>
        <row r="864">
          <cell r="B864" t="str">
            <v>08E04</v>
          </cell>
          <cell r="C864" t="str">
            <v xml:space="preserve">      CO analyzer problems</v>
          </cell>
          <cell r="D864" t="str">
            <v>8730</v>
          </cell>
        </row>
        <row r="865">
          <cell r="B865" t="str">
            <v>08E05</v>
          </cell>
          <cell r="C865" t="str">
            <v xml:space="preserve">      CO2 analyzer problems</v>
          </cell>
          <cell r="D865" t="str">
            <v>8740</v>
          </cell>
        </row>
        <row r="866">
          <cell r="B866" t="str">
            <v>08E06</v>
          </cell>
          <cell r="C866" t="str">
            <v xml:space="preserve">      O2 analyzer problems</v>
          </cell>
          <cell r="D866" t="str">
            <v>8750</v>
          </cell>
        </row>
        <row r="867">
          <cell r="B867" t="str">
            <v>08E07</v>
          </cell>
          <cell r="C867" t="str">
            <v xml:space="preserve">      Opacity monitor problems</v>
          </cell>
          <cell r="D867" t="str">
            <v>8760</v>
          </cell>
        </row>
        <row r="868">
          <cell r="B868" t="str">
            <v>08E08</v>
          </cell>
          <cell r="C868" t="str">
            <v xml:space="preserve">      Flow monitor problems</v>
          </cell>
          <cell r="D868" t="str">
            <v>8770</v>
          </cell>
        </row>
        <row r="869">
          <cell r="B869" t="str">
            <v>08E09</v>
          </cell>
          <cell r="C869" t="str">
            <v xml:space="preserve">      Data acquisition system problems</v>
          </cell>
          <cell r="D869" t="str">
            <v>8780</v>
          </cell>
        </row>
        <row r="870">
          <cell r="B870" t="str">
            <v>08E10</v>
          </cell>
          <cell r="C870" t="str">
            <v xml:space="preserve">      Miscellaneous CEMS problems</v>
          </cell>
          <cell r="D870" t="str">
            <v>8790</v>
          </cell>
        </row>
        <row r="871">
          <cell r="B871" t="str">
            <v>08F</v>
          </cell>
          <cell r="C871" t="str">
            <v xml:space="preserve">   NOx Reduction Systems </v>
          </cell>
        </row>
        <row r="872">
          <cell r="B872" t="str">
            <v>08F01</v>
          </cell>
          <cell r="C872" t="str">
            <v xml:space="preserve">      Reagent</v>
          </cell>
          <cell r="D872" t="str">
            <v>8800</v>
          </cell>
        </row>
        <row r="873">
          <cell r="B873" t="str">
            <v>08F02</v>
          </cell>
          <cell r="C873" t="str">
            <v xml:space="preserve">      Carrier gas</v>
          </cell>
          <cell r="D873" t="str">
            <v>8801</v>
          </cell>
        </row>
        <row r="874">
          <cell r="B874" t="str">
            <v>08F03</v>
          </cell>
          <cell r="C874" t="str">
            <v xml:space="preserve">      Control system</v>
          </cell>
          <cell r="D874" t="str">
            <v>8802</v>
          </cell>
        </row>
        <row r="875">
          <cell r="B875" t="str">
            <v>08F04</v>
          </cell>
          <cell r="C875" t="str">
            <v xml:space="preserve">      Other SNCR problems</v>
          </cell>
          <cell r="D875" t="str">
            <v>8809</v>
          </cell>
        </row>
        <row r="876">
          <cell r="B876" t="str">
            <v>08F05</v>
          </cell>
          <cell r="C876" t="str">
            <v xml:space="preserve">      Reactor</v>
          </cell>
          <cell r="D876" t="str">
            <v>8810</v>
          </cell>
        </row>
        <row r="877">
          <cell r="B877" t="str">
            <v>08F06</v>
          </cell>
          <cell r="C877" t="str">
            <v xml:space="preserve">      Reagent</v>
          </cell>
          <cell r="D877" t="str">
            <v>8811</v>
          </cell>
        </row>
        <row r="878">
          <cell r="B878" t="str">
            <v>08F07</v>
          </cell>
          <cell r="C878" t="str">
            <v xml:space="preserve">      Catalyst</v>
          </cell>
          <cell r="D878" t="str">
            <v>8812</v>
          </cell>
        </row>
        <row r="879">
          <cell r="B879" t="str">
            <v>08F08</v>
          </cell>
          <cell r="C879" t="str">
            <v xml:space="preserve">      Injection grid piping/valves</v>
          </cell>
          <cell r="D879" t="str">
            <v>8813</v>
          </cell>
        </row>
        <row r="880">
          <cell r="B880" t="str">
            <v>08F09</v>
          </cell>
          <cell r="C880" t="str">
            <v xml:space="preserve">      Catalyst support material</v>
          </cell>
          <cell r="D880" t="str">
            <v>8814</v>
          </cell>
        </row>
        <row r="881">
          <cell r="B881" t="str">
            <v>08F10</v>
          </cell>
          <cell r="C881" t="str">
            <v xml:space="preserve">      Soot blowers</v>
          </cell>
          <cell r="D881" t="str">
            <v>8815</v>
          </cell>
        </row>
        <row r="882">
          <cell r="B882" t="str">
            <v>08F11</v>
          </cell>
          <cell r="C882" t="str">
            <v xml:space="preserve">      Plugging</v>
          </cell>
          <cell r="D882" t="str">
            <v>8816</v>
          </cell>
        </row>
        <row r="883">
          <cell r="B883" t="str">
            <v>08F12</v>
          </cell>
          <cell r="C883" t="str">
            <v xml:space="preserve">      Control system</v>
          </cell>
          <cell r="D883" t="str">
            <v>8817</v>
          </cell>
        </row>
        <row r="884">
          <cell r="B884" t="str">
            <v>08F13</v>
          </cell>
          <cell r="C884" t="str">
            <v xml:space="preserve">      Other SCR problems</v>
          </cell>
          <cell r="D884" t="str">
            <v>8825</v>
          </cell>
        </row>
        <row r="885">
          <cell r="B885" t="str">
            <v>08F14</v>
          </cell>
          <cell r="C885" t="str">
            <v xml:space="preserve">      Active catalyst</v>
          </cell>
          <cell r="D885" t="str">
            <v>8830</v>
          </cell>
        </row>
        <row r="886">
          <cell r="B886" t="str">
            <v>08F15</v>
          </cell>
          <cell r="C886" t="str">
            <v xml:space="preserve">      Support materials</v>
          </cell>
          <cell r="D886" t="str">
            <v>8831</v>
          </cell>
        </row>
        <row r="887">
          <cell r="B887" t="str">
            <v>08F16</v>
          </cell>
          <cell r="C887" t="str">
            <v xml:space="preserve">      Plugging</v>
          </cell>
          <cell r="D887" t="str">
            <v>8832</v>
          </cell>
        </row>
        <row r="888">
          <cell r="B888" t="str">
            <v>08F17</v>
          </cell>
          <cell r="C888" t="str">
            <v xml:space="preserve">      Other CAH problems</v>
          </cell>
          <cell r="D888" t="str">
            <v>8835</v>
          </cell>
        </row>
        <row r="889">
          <cell r="B889" t="str">
            <v>09</v>
          </cell>
          <cell r="C889" t="str">
            <v>EXTERNAL</v>
          </cell>
        </row>
        <row r="890">
          <cell r="B890" t="str">
            <v>09A</v>
          </cell>
          <cell r="C890" t="str">
            <v xml:space="preserve">   Catastrophe</v>
          </cell>
        </row>
        <row r="891">
          <cell r="B891" t="str">
            <v>09A01</v>
          </cell>
          <cell r="C891" t="str">
            <v xml:space="preserve">      Flood </v>
          </cell>
          <cell r="D891" t="str">
            <v>9000</v>
          </cell>
        </row>
        <row r="892">
          <cell r="B892" t="str">
            <v>09A02</v>
          </cell>
          <cell r="C892" t="str">
            <v xml:space="preserve">      Fire, not related to a specific component </v>
          </cell>
          <cell r="D892" t="str">
            <v>9010</v>
          </cell>
        </row>
        <row r="893">
          <cell r="B893" t="str">
            <v>09A03</v>
          </cell>
          <cell r="C893" t="str">
            <v xml:space="preserve">      Lightning</v>
          </cell>
          <cell r="D893" t="str">
            <v>9020</v>
          </cell>
        </row>
        <row r="894">
          <cell r="B894" t="str">
            <v>09A04</v>
          </cell>
          <cell r="C894" t="str">
            <v xml:space="preserve">      Geomagnetic disturbance </v>
          </cell>
          <cell r="D894" t="str">
            <v>9025</v>
          </cell>
        </row>
        <row r="895">
          <cell r="B895" t="str">
            <v>09A05</v>
          </cell>
          <cell r="C895" t="str">
            <v xml:space="preserve">      Earthquake </v>
          </cell>
          <cell r="D895" t="str">
            <v>9030</v>
          </cell>
        </row>
        <row r="896">
          <cell r="B896" t="str">
            <v>09A06</v>
          </cell>
          <cell r="C896" t="str">
            <v xml:space="preserve">      Other catastrophe</v>
          </cell>
          <cell r="D896" t="str">
            <v>9040</v>
          </cell>
        </row>
        <row r="897">
          <cell r="B897" t="str">
            <v>09B</v>
          </cell>
          <cell r="C897" t="str">
            <v xml:space="preserve">   Economic</v>
          </cell>
        </row>
        <row r="898">
          <cell r="B898" t="str">
            <v>09B01</v>
          </cell>
          <cell r="C898" t="str">
            <v xml:space="preserve">      Reserve shutdown </v>
          </cell>
          <cell r="D898" t="str">
            <v>0</v>
          </cell>
        </row>
        <row r="899">
          <cell r="B899" t="str">
            <v>09B02</v>
          </cell>
          <cell r="C899" t="str">
            <v xml:space="preserve">      Lack of fuel </v>
          </cell>
          <cell r="D899" t="str">
            <v>9130</v>
          </cell>
        </row>
        <row r="900">
          <cell r="B900" t="str">
            <v>09B03</v>
          </cell>
          <cell r="C900" t="str">
            <v xml:space="preserve">      Plant modifications to burn different fuel (not regulatory mandated)</v>
          </cell>
          <cell r="D900" t="str">
            <v>9140</v>
          </cell>
        </row>
        <row r="901">
          <cell r="B901" t="str">
            <v>09B04</v>
          </cell>
          <cell r="C901" t="str">
            <v xml:space="preserve">      Labor strikes </v>
          </cell>
          <cell r="D901" t="str">
            <v>9150</v>
          </cell>
        </row>
        <row r="902">
          <cell r="B902" t="str">
            <v>09B05</v>
          </cell>
          <cell r="C902" t="str">
            <v xml:space="preserve">      Other economic problems  </v>
          </cell>
          <cell r="D902" t="str">
            <v>9160</v>
          </cell>
        </row>
        <row r="903">
          <cell r="B903" t="str">
            <v>09C</v>
          </cell>
          <cell r="C903" t="str">
            <v xml:space="preserve">   Fuel Quality </v>
          </cell>
        </row>
        <row r="904">
          <cell r="B904" t="str">
            <v>09C01</v>
          </cell>
          <cell r="C904" t="str">
            <v xml:space="preserve">      High ash content </v>
          </cell>
          <cell r="D904" t="str">
            <v>9200</v>
          </cell>
        </row>
        <row r="905">
          <cell r="B905" t="str">
            <v>09C02</v>
          </cell>
          <cell r="C905" t="str">
            <v xml:space="preserve">      Low grindability </v>
          </cell>
          <cell r="D905" t="str">
            <v>9210</v>
          </cell>
        </row>
        <row r="906">
          <cell r="B906" t="str">
            <v>09C03</v>
          </cell>
          <cell r="C906" t="str">
            <v xml:space="preserve">      High sulfur content </v>
          </cell>
          <cell r="D906" t="str">
            <v>9220</v>
          </cell>
        </row>
        <row r="907">
          <cell r="B907" t="str">
            <v>09C04</v>
          </cell>
          <cell r="C907" t="str">
            <v xml:space="preserve">      High vanadium content </v>
          </cell>
          <cell r="D907" t="str">
            <v>9230</v>
          </cell>
        </row>
        <row r="908">
          <cell r="B908" t="str">
            <v>09C05</v>
          </cell>
          <cell r="C908" t="str">
            <v xml:space="preserve">      High sodium content </v>
          </cell>
          <cell r="D908" t="str">
            <v>9240</v>
          </cell>
        </row>
        <row r="909">
          <cell r="B909" t="str">
            <v>09C06</v>
          </cell>
          <cell r="C909" t="str">
            <v xml:space="preserve">      Low Btu coal </v>
          </cell>
          <cell r="D909" t="str">
            <v>9250</v>
          </cell>
        </row>
        <row r="910">
          <cell r="B910" t="str">
            <v>09C07</v>
          </cell>
          <cell r="C910" t="str">
            <v xml:space="preserve">      Low Btu oil </v>
          </cell>
          <cell r="D910" t="str">
            <v>9260</v>
          </cell>
        </row>
        <row r="911">
          <cell r="B911" t="str">
            <v>09C08</v>
          </cell>
          <cell r="C911" t="str">
            <v xml:space="preserve">      Wet coal </v>
          </cell>
          <cell r="D911" t="str">
            <v>9270</v>
          </cell>
        </row>
        <row r="912">
          <cell r="B912" t="str">
            <v>09C09</v>
          </cell>
          <cell r="C912" t="str">
            <v xml:space="preserve">      Frozen coal </v>
          </cell>
          <cell r="D912" t="str">
            <v>9280</v>
          </cell>
        </row>
        <row r="913">
          <cell r="B913" t="str">
            <v>09C10</v>
          </cell>
          <cell r="C913" t="str">
            <v xml:space="preserve">      Other fuel quality problems</v>
          </cell>
          <cell r="D913" t="str">
            <v>9290</v>
          </cell>
        </row>
        <row r="914">
          <cell r="B914" t="str">
            <v>09D</v>
          </cell>
          <cell r="C914" t="str">
            <v xml:space="preserve">   Miscellaneous (External)</v>
          </cell>
        </row>
        <row r="915">
          <cell r="B915" t="str">
            <v>09D01</v>
          </cell>
          <cell r="C915" t="str">
            <v xml:space="preserve">      Transmission system problems other than catastrophes (dont include switchyard problems in this category)</v>
          </cell>
          <cell r="D915" t="str">
            <v>9300</v>
          </cell>
        </row>
        <row r="916">
          <cell r="B916" t="str">
            <v>09D02</v>
          </cell>
          <cell r="C916" t="str">
            <v xml:space="preserve">      Ash disposal problem</v>
          </cell>
          <cell r="D916" t="str">
            <v>9305</v>
          </cell>
        </row>
        <row r="917">
          <cell r="B917" t="str">
            <v>09D03</v>
          </cell>
          <cell r="C917" t="str">
            <v xml:space="preserve">      Operator training</v>
          </cell>
          <cell r="D917" t="str">
            <v>9310</v>
          </cell>
        </row>
        <row r="918">
          <cell r="B918" t="str">
            <v>09D04</v>
          </cell>
          <cell r="C918" t="str">
            <v xml:space="preserve">      Other miscellaneous external problems</v>
          </cell>
          <cell r="D918" t="str">
            <v>9320</v>
          </cell>
        </row>
        <row r="919">
          <cell r="B919" t="str">
            <v>0IJ</v>
          </cell>
          <cell r="C919" t="str">
            <v xml:space="preserve">   Boiler Control Systems (including instruments which input to the controls)  </v>
          </cell>
        </row>
        <row r="920">
          <cell r="B920" t="str">
            <v>0IJ01</v>
          </cell>
          <cell r="C920" t="str">
            <v xml:space="preserve">      Feedwater controls</v>
          </cell>
          <cell r="D920" t="str">
            <v>1700</v>
          </cell>
        </row>
        <row r="921">
          <cell r="B921" t="str">
            <v>0IJ02</v>
          </cell>
          <cell r="C921" t="str">
            <v xml:space="preserve">      Combustion/steam condition controls</v>
          </cell>
          <cell r="D921" t="str">
            <v>1710</v>
          </cell>
        </row>
        <row r="922">
          <cell r="B922" t="str">
            <v>0IJ03</v>
          </cell>
          <cell r="C922" t="str">
            <v xml:space="preserve">      Desuperheater/attemperator controls </v>
          </cell>
          <cell r="D922" t="str">
            <v>1720</v>
          </cell>
        </row>
        <row r="923">
          <cell r="B923" t="str">
            <v>0IJ04</v>
          </cell>
          <cell r="C923" t="str">
            <v xml:space="preserve">      Boiler explosion or implosion </v>
          </cell>
          <cell r="D923" t="str">
            <v>1730</v>
          </cell>
        </row>
        <row r="924">
          <cell r="B924" t="str">
            <v>0IJ05</v>
          </cell>
          <cell r="C924" t="str">
            <v xml:space="preserve">      Gage glasses </v>
          </cell>
          <cell r="D924" t="str">
            <v>1740</v>
          </cell>
        </row>
        <row r="925">
          <cell r="B925" t="str">
            <v>0IJ06</v>
          </cell>
          <cell r="C925" t="str">
            <v xml:space="preserve">      Burner management system </v>
          </cell>
          <cell r="D925" t="str">
            <v>1750</v>
          </cell>
        </row>
        <row r="926">
          <cell r="B926" t="str">
            <v>0IJ07</v>
          </cell>
          <cell r="C926" t="str">
            <v xml:space="preserve">      Other boiler control problems  </v>
          </cell>
          <cell r="D926" t="str">
            <v>1799</v>
          </cell>
        </row>
        <row r="927">
          <cell r="B927" t="str">
            <v>10</v>
          </cell>
          <cell r="C927" t="str">
            <v>REGULATORY, SAFETY, ENVIRONMENTAL</v>
          </cell>
        </row>
        <row r="928">
          <cell r="B928" t="str">
            <v>10A</v>
          </cell>
          <cell r="C928" t="str">
            <v xml:space="preserve">   Regulatory</v>
          </cell>
        </row>
        <row r="929">
          <cell r="B929" t="str">
            <v>10A01</v>
          </cell>
          <cell r="C929" t="str">
            <v xml:space="preserve">      Regulatory (environmental) proceedings and hearings - regulatory agency initiated</v>
          </cell>
          <cell r="D929" t="str">
            <v>9504</v>
          </cell>
        </row>
        <row r="930">
          <cell r="B930" t="str">
            <v>10A02</v>
          </cell>
          <cell r="C930" t="str">
            <v xml:space="preserve">      Regulatory (environmental) proceedings and hearings - intervenor initiated </v>
          </cell>
          <cell r="D930" t="str">
            <v>9506</v>
          </cell>
        </row>
        <row r="931">
          <cell r="B931" t="str">
            <v>10A03</v>
          </cell>
          <cell r="C931" t="str">
            <v xml:space="preserve">      Plant modifications strictly for compliance with new or changed regulatory requirements(scrubbers,cooling towers,etc) </v>
          </cell>
          <cell r="D931" t="str">
            <v>9510</v>
          </cell>
        </row>
        <row r="932">
          <cell r="B932" t="str">
            <v>10A04</v>
          </cell>
          <cell r="C932" t="str">
            <v xml:space="preserve">      Miscellaneous regulatory</v>
          </cell>
          <cell r="D932" t="str">
            <v>9590</v>
          </cell>
        </row>
        <row r="933">
          <cell r="B933" t="str">
            <v>10B</v>
          </cell>
          <cell r="C933" t="str">
            <v xml:space="preserve">   Stack Emission (include exhaust emissions)</v>
          </cell>
        </row>
        <row r="934">
          <cell r="B934" t="str">
            <v>10B01</v>
          </cell>
          <cell r="C934" t="str">
            <v xml:space="preserve">      SO2 stack emissions</v>
          </cell>
          <cell r="D934" t="str">
            <v>9600</v>
          </cell>
        </row>
        <row r="935">
          <cell r="B935" t="str">
            <v>10B02</v>
          </cell>
          <cell r="C935" t="str">
            <v xml:space="preserve">      NOx stack emissions </v>
          </cell>
          <cell r="D935" t="str">
            <v>9610</v>
          </cell>
        </row>
        <row r="936">
          <cell r="B936" t="str">
            <v>10B03</v>
          </cell>
          <cell r="C936" t="str">
            <v xml:space="preserve">      Particulate stack emissions</v>
          </cell>
          <cell r="D936" t="str">
            <v>9620</v>
          </cell>
        </row>
        <row r="937">
          <cell r="B937" t="str">
            <v>10B04</v>
          </cell>
          <cell r="C937" t="str">
            <v xml:space="preserve">      Opacity</v>
          </cell>
          <cell r="D937" t="str">
            <v>9630</v>
          </cell>
        </row>
        <row r="938">
          <cell r="B938" t="str">
            <v>10B05</v>
          </cell>
          <cell r="C938" t="str">
            <v xml:space="preserve">      Other stack or exhaust emissions</v>
          </cell>
          <cell r="D938" t="str">
            <v>9650</v>
          </cell>
        </row>
        <row r="939">
          <cell r="B939" t="str">
            <v>10B06</v>
          </cell>
          <cell r="C939" t="str">
            <v xml:space="preserve">      SO2 stack emissions</v>
          </cell>
          <cell r="D939" t="str">
            <v>9603</v>
          </cell>
        </row>
        <row r="940">
          <cell r="B940" t="str">
            <v>10B07</v>
          </cell>
          <cell r="C940" t="str">
            <v xml:space="preserve">      NOx stack emissions </v>
          </cell>
          <cell r="D940" t="str">
            <v>9613</v>
          </cell>
        </row>
        <row r="941">
          <cell r="B941" t="str">
            <v>10B08</v>
          </cell>
          <cell r="C941" t="str">
            <v xml:space="preserve">      Particulate stack emissions </v>
          </cell>
          <cell r="D941" t="str">
            <v>9623</v>
          </cell>
        </row>
        <row r="942">
          <cell r="B942" t="str">
            <v>10B09</v>
          </cell>
          <cell r="C942" t="str">
            <v xml:space="preserve">      Opacity</v>
          </cell>
          <cell r="D942" t="str">
            <v>9633</v>
          </cell>
        </row>
        <row r="943">
          <cell r="B943" t="str">
            <v>10B10</v>
          </cell>
          <cell r="C943" t="str">
            <v xml:space="preserve">      Other stack or exhaust emissions</v>
          </cell>
          <cell r="D943" t="str">
            <v>9653</v>
          </cell>
        </row>
        <row r="944">
          <cell r="B944" t="str">
            <v>10C</v>
          </cell>
          <cell r="C944" t="str">
            <v xml:space="preserve">   Other Operating Environmental Limitations</v>
          </cell>
        </row>
        <row r="945">
          <cell r="B945" t="str">
            <v>10C01</v>
          </cell>
          <cell r="C945" t="str">
            <v xml:space="preserve">      Thermal discharge limits</v>
          </cell>
          <cell r="D945" t="str">
            <v>9660</v>
          </cell>
        </row>
        <row r="946">
          <cell r="B946" t="str">
            <v>10C02</v>
          </cell>
          <cell r="C946" t="str">
            <v xml:space="preserve">      Noise limits (not for personnel safety)</v>
          </cell>
          <cell r="D946" t="str">
            <v>9670</v>
          </cell>
        </row>
        <row r="947">
          <cell r="B947" t="str">
            <v>10C03</v>
          </cell>
          <cell r="C947" t="str">
            <v xml:space="preserve">      Fish kill</v>
          </cell>
          <cell r="D947" t="str">
            <v>9680</v>
          </cell>
        </row>
        <row r="948">
          <cell r="B948" t="str">
            <v>10C04</v>
          </cell>
          <cell r="C948" t="str">
            <v xml:space="preserve">      Other miscellaneous operational environmental limits</v>
          </cell>
          <cell r="D948" t="str">
            <v>9690</v>
          </cell>
        </row>
        <row r="949">
          <cell r="B949" t="str">
            <v>10C05</v>
          </cell>
          <cell r="C949" t="str">
            <v xml:space="preserve">      Thermal discharge limits</v>
          </cell>
          <cell r="D949" t="str">
            <v>9663</v>
          </cell>
        </row>
        <row r="950">
          <cell r="B950" t="str">
            <v>10C06</v>
          </cell>
          <cell r="C950" t="str">
            <v xml:space="preserve">      Noise limits (not for personnel safety)</v>
          </cell>
          <cell r="D950" t="str">
            <v>9673</v>
          </cell>
        </row>
        <row r="951">
          <cell r="B951" t="str">
            <v>10C07</v>
          </cell>
          <cell r="C951" t="str">
            <v xml:space="preserve">      Fish kill</v>
          </cell>
          <cell r="D951" t="str">
            <v>9683</v>
          </cell>
        </row>
        <row r="952">
          <cell r="B952" t="str">
            <v>10C08</v>
          </cell>
          <cell r="C952" t="str">
            <v xml:space="preserve">      Other miscellaneous operational environmental limits</v>
          </cell>
          <cell r="D952" t="str">
            <v>9693</v>
          </cell>
        </row>
        <row r="953">
          <cell r="B953" t="str">
            <v>10C09</v>
          </cell>
          <cell r="C953" t="str">
            <v xml:space="preserve">      Noise limits (not for personnel safety)</v>
          </cell>
          <cell r="D953" t="str">
            <v>9676</v>
          </cell>
        </row>
        <row r="954">
          <cell r="B954" t="str">
            <v>10C10</v>
          </cell>
          <cell r="C954" t="str">
            <v xml:space="preserve">      Fish kill</v>
          </cell>
          <cell r="D954" t="str">
            <v>9686</v>
          </cell>
        </row>
        <row r="955">
          <cell r="B955" t="str">
            <v>10C11</v>
          </cell>
          <cell r="C955" t="str">
            <v xml:space="preserve">      Other miscellaneous operational environmental limits</v>
          </cell>
          <cell r="D955" t="str">
            <v>9696</v>
          </cell>
        </row>
        <row r="956">
          <cell r="B956" t="str">
            <v>10D</v>
          </cell>
          <cell r="C956" t="str">
            <v xml:space="preserve">   Safety</v>
          </cell>
        </row>
        <row r="957">
          <cell r="B957" t="str">
            <v>10D01</v>
          </cell>
          <cell r="C957" t="str">
            <v xml:space="preserve">      OSHA-related retrofit or inspection </v>
          </cell>
          <cell r="D957" t="str">
            <v>9700</v>
          </cell>
        </row>
        <row r="958">
          <cell r="B958" t="str">
            <v>10D02</v>
          </cell>
          <cell r="C958" t="str">
            <v xml:space="preserve">      Other safety problems</v>
          </cell>
          <cell r="D958" t="str">
            <v>9720</v>
          </cell>
        </row>
        <row r="959">
          <cell r="B959" t="str">
            <v>11</v>
          </cell>
          <cell r="C959" t="str">
            <v>PERSONNEL ERRORS</v>
          </cell>
        </row>
        <row r="960">
          <cell r="B960" t="str">
            <v>11A</v>
          </cell>
          <cell r="C960" t="str">
            <v xml:space="preserve">   PERSONNEL ERRORS</v>
          </cell>
        </row>
        <row r="961">
          <cell r="B961" t="str">
            <v>11A01</v>
          </cell>
          <cell r="C961" t="str">
            <v xml:space="preserve">      Operator error </v>
          </cell>
          <cell r="D961" t="str">
            <v>9900</v>
          </cell>
        </row>
        <row r="962">
          <cell r="B962" t="str">
            <v>11A02</v>
          </cell>
          <cell r="C962" t="str">
            <v xml:space="preserve">      Maintenance error </v>
          </cell>
          <cell r="D962" t="str">
            <v>9910</v>
          </cell>
        </row>
        <row r="963">
          <cell r="B963" t="str">
            <v>11A03</v>
          </cell>
          <cell r="C963" t="str">
            <v xml:space="preserve">      Contractor error    </v>
          </cell>
          <cell r="D963" t="str">
            <v>9920</v>
          </cell>
        </row>
        <row r="964">
          <cell r="B964" t="str">
            <v>12</v>
          </cell>
          <cell r="C964" t="str">
            <v>PERFORMANCE</v>
          </cell>
        </row>
        <row r="965">
          <cell r="B965" t="str">
            <v>12A</v>
          </cell>
          <cell r="C965" t="str">
            <v xml:space="preserve">   PERFORMANCE</v>
          </cell>
        </row>
        <row r="966">
          <cell r="B966" t="str">
            <v>12A1</v>
          </cell>
          <cell r="C966" t="str">
            <v xml:space="preserve">      Total unit performance testing (use appropriate codes for individual component testing)</v>
          </cell>
          <cell r="D966" t="str">
            <v>9999</v>
          </cell>
        </row>
      </sheetData>
      <sheetData sheetId="10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Mutation"/>
      <sheetName val="Data_Opname"/>
      <sheetName val="ExSum"/>
      <sheetName val="Summary_1"/>
      <sheetName val="Graph_1"/>
      <sheetName val="Graph_2"/>
      <sheetName val="Form_1"/>
    </sheetNames>
    <sheetDataSet>
      <sheetData sheetId="0">
        <row r="3">
          <cell r="E3">
            <v>41180</v>
          </cell>
          <cell r="F3">
            <v>4757.9620000000004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4757.9620000000004</v>
          </cell>
          <cell r="N3">
            <v>0</v>
          </cell>
          <cell r="T3" t="str">
            <v>PLNBB</v>
          </cell>
        </row>
        <row r="4">
          <cell r="E4">
            <v>41181</v>
          </cell>
          <cell r="F4">
            <v>9110.6689999999999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13868.631000000001</v>
          </cell>
          <cell r="N4">
            <v>13868.631000000001</v>
          </cell>
          <cell r="T4" t="str">
            <v>PLNBB</v>
          </cell>
        </row>
        <row r="5">
          <cell r="E5">
            <v>41182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13868.631000000001</v>
          </cell>
          <cell r="N5">
            <v>13868.631000000001</v>
          </cell>
        </row>
        <row r="6">
          <cell r="E6">
            <v>41183</v>
          </cell>
          <cell r="F6">
            <v>4483.826</v>
          </cell>
          <cell r="H6">
            <v>0</v>
          </cell>
          <cell r="I6">
            <v>0</v>
          </cell>
          <cell r="J6">
            <v>0</v>
          </cell>
          <cell r="K6">
            <v>18352.457000000002</v>
          </cell>
          <cell r="N6">
            <v>18352.457000000002</v>
          </cell>
        </row>
        <row r="7">
          <cell r="E7">
            <v>41184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18352.457000000002</v>
          </cell>
          <cell r="N7">
            <v>18352.457000000002</v>
          </cell>
        </row>
        <row r="8">
          <cell r="E8">
            <v>41185</v>
          </cell>
          <cell r="F8">
            <v>7078.134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25430.591</v>
          </cell>
          <cell r="N8">
            <v>25430.591</v>
          </cell>
        </row>
        <row r="9">
          <cell r="E9">
            <v>41186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25430.591</v>
          </cell>
          <cell r="N9">
            <v>25430.591</v>
          </cell>
        </row>
        <row r="10">
          <cell r="E10">
            <v>41187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25430.591</v>
          </cell>
          <cell r="N10">
            <v>25430.591</v>
          </cell>
        </row>
        <row r="11">
          <cell r="E11">
            <v>41188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25430.591</v>
          </cell>
          <cell r="N11">
            <v>25430.591</v>
          </cell>
        </row>
        <row r="12">
          <cell r="E12">
            <v>41189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25430.591</v>
          </cell>
          <cell r="N12">
            <v>25430.591</v>
          </cell>
        </row>
        <row r="13">
          <cell r="E13">
            <v>41190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25430.591</v>
          </cell>
          <cell r="N13">
            <v>25430.591</v>
          </cell>
        </row>
        <row r="14">
          <cell r="E14">
            <v>41191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25430.591</v>
          </cell>
          <cell r="N14">
            <v>25430.591</v>
          </cell>
        </row>
        <row r="15">
          <cell r="E15">
            <v>41192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25430.591</v>
          </cell>
          <cell r="N15">
            <v>25430.591</v>
          </cell>
        </row>
        <row r="16">
          <cell r="E16">
            <v>41193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25430.591</v>
          </cell>
          <cell r="N16">
            <v>25430.591</v>
          </cell>
        </row>
        <row r="17">
          <cell r="E17">
            <v>41194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25430.591</v>
          </cell>
          <cell r="N17">
            <v>25430.591</v>
          </cell>
        </row>
        <row r="18">
          <cell r="E18">
            <v>41195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25430.591</v>
          </cell>
          <cell r="N18">
            <v>25430.591</v>
          </cell>
        </row>
        <row r="19">
          <cell r="E19">
            <v>41196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25430.591</v>
          </cell>
          <cell r="N19">
            <v>25430.591</v>
          </cell>
        </row>
        <row r="20">
          <cell r="E20">
            <v>41197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25430.591</v>
          </cell>
          <cell r="N20">
            <v>25430.591</v>
          </cell>
        </row>
        <row r="21">
          <cell r="E21">
            <v>41198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25430.591</v>
          </cell>
          <cell r="N21">
            <v>25430.591</v>
          </cell>
        </row>
        <row r="22">
          <cell r="E22">
            <v>41199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25430.591</v>
          </cell>
          <cell r="N22">
            <v>25430.591</v>
          </cell>
        </row>
        <row r="23">
          <cell r="E23">
            <v>41200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25430.591</v>
          </cell>
          <cell r="N23">
            <v>25430.591</v>
          </cell>
        </row>
        <row r="24">
          <cell r="E24">
            <v>41201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25430.591</v>
          </cell>
          <cell r="N24">
            <v>25430.591</v>
          </cell>
        </row>
        <row r="25">
          <cell r="E25">
            <v>41202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25430.591</v>
          </cell>
          <cell r="N25">
            <v>25430.591</v>
          </cell>
        </row>
        <row r="26">
          <cell r="E26">
            <v>41203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25430.591</v>
          </cell>
          <cell r="N26">
            <v>25430.591</v>
          </cell>
        </row>
        <row r="27">
          <cell r="E27">
            <v>41204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25430.591</v>
          </cell>
          <cell r="N27">
            <v>25430.591</v>
          </cell>
        </row>
        <row r="28">
          <cell r="E28">
            <v>41205</v>
          </cell>
          <cell r="F28">
            <v>15792.753000000001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41223.343999999997</v>
          </cell>
          <cell r="N28">
            <v>41223.343999999997</v>
          </cell>
        </row>
        <row r="29">
          <cell r="E29">
            <v>41206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41223.343999999997</v>
          </cell>
          <cell r="N29">
            <v>41223.343999999997</v>
          </cell>
        </row>
        <row r="30">
          <cell r="E30">
            <v>41207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41223.343999999997</v>
          </cell>
          <cell r="N30">
            <v>41223.343999999997</v>
          </cell>
        </row>
        <row r="31">
          <cell r="E31">
            <v>41208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41223.343999999997</v>
          </cell>
          <cell r="N31">
            <v>41223.343999999997</v>
          </cell>
        </row>
        <row r="32">
          <cell r="E32">
            <v>41209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41223.343999999997</v>
          </cell>
          <cell r="N32">
            <v>41223.343999999997</v>
          </cell>
        </row>
        <row r="33">
          <cell r="E33">
            <v>41210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41223.343999999997</v>
          </cell>
          <cell r="N33">
            <v>41223.343999999997</v>
          </cell>
        </row>
        <row r="34">
          <cell r="E34">
            <v>41211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41223.343999999997</v>
          </cell>
          <cell r="N34">
            <v>41223.343999999997</v>
          </cell>
        </row>
        <row r="35">
          <cell r="E35">
            <v>41212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41223.343999999997</v>
          </cell>
          <cell r="N35">
            <v>41223.343999999997</v>
          </cell>
        </row>
        <row r="36">
          <cell r="E36">
            <v>41213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41223.343999999997</v>
          </cell>
          <cell r="N36">
            <v>41223.343999999997</v>
          </cell>
        </row>
        <row r="37">
          <cell r="E37">
            <v>41214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41223.343999999997</v>
          </cell>
          <cell r="N37">
            <v>41223.343999999997</v>
          </cell>
        </row>
        <row r="38">
          <cell r="E38">
            <v>41215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41223.343999999997</v>
          </cell>
          <cell r="N38">
            <v>41223.343999999997</v>
          </cell>
        </row>
        <row r="39">
          <cell r="E39">
            <v>41216</v>
          </cell>
          <cell r="F39">
            <v>8232.3510000000006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49455.695</v>
          </cell>
          <cell r="N39">
            <v>49455.695</v>
          </cell>
        </row>
        <row r="40">
          <cell r="E40">
            <v>41217</v>
          </cell>
          <cell r="F40">
            <v>7644.165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57099.86</v>
          </cell>
          <cell r="N40">
            <v>57099.86</v>
          </cell>
        </row>
        <row r="41">
          <cell r="E41">
            <v>41218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57099.86</v>
          </cell>
          <cell r="N41">
            <v>57099.86</v>
          </cell>
        </row>
        <row r="42">
          <cell r="E42">
            <v>41219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57099.86</v>
          </cell>
          <cell r="N42">
            <v>57099.86</v>
          </cell>
        </row>
        <row r="43">
          <cell r="E43">
            <v>41220</v>
          </cell>
          <cell r="F43">
            <v>7635.93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64735.79</v>
          </cell>
          <cell r="N43">
            <v>64735.79</v>
          </cell>
        </row>
        <row r="44">
          <cell r="E44">
            <v>41221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64735.79</v>
          </cell>
          <cell r="N44">
            <v>64735.79</v>
          </cell>
        </row>
        <row r="45">
          <cell r="E45">
            <v>41222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64735.79</v>
          </cell>
          <cell r="N45">
            <v>64735.79</v>
          </cell>
        </row>
        <row r="46">
          <cell r="E46">
            <v>41223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64735.79</v>
          </cell>
          <cell r="N46">
            <v>64735.79</v>
          </cell>
        </row>
        <row r="47">
          <cell r="E47">
            <v>41224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64735.79</v>
          </cell>
          <cell r="N47">
            <v>64735.79</v>
          </cell>
        </row>
        <row r="48">
          <cell r="E48">
            <v>41225</v>
          </cell>
          <cell r="F48">
            <v>8103.8490000000002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72839.638999999996</v>
          </cell>
          <cell r="N48">
            <v>72839.638999999996</v>
          </cell>
        </row>
        <row r="49">
          <cell r="E49">
            <v>41226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72839.638999999996</v>
          </cell>
          <cell r="N49">
            <v>72839.638999999996</v>
          </cell>
        </row>
        <row r="50">
          <cell r="E50">
            <v>41227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72839.638999999996</v>
          </cell>
          <cell r="N50">
            <v>72839.638999999996</v>
          </cell>
        </row>
        <row r="51">
          <cell r="E51">
            <v>41228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72839.638999999996</v>
          </cell>
          <cell r="N51">
            <v>72839.638999999996</v>
          </cell>
        </row>
        <row r="52">
          <cell r="E52">
            <v>41229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72839.638999999996</v>
          </cell>
          <cell r="N52">
            <v>72839.638999999996</v>
          </cell>
        </row>
        <row r="53">
          <cell r="E53">
            <v>41230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72839.638999999996</v>
          </cell>
          <cell r="N53">
            <v>72839.638999999996</v>
          </cell>
        </row>
        <row r="54">
          <cell r="E54">
            <v>41231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72839.638999999996</v>
          </cell>
          <cell r="N54">
            <v>72839.638999999996</v>
          </cell>
        </row>
        <row r="55">
          <cell r="E55">
            <v>41232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72839.638999999996</v>
          </cell>
          <cell r="N55">
            <v>72839.638999999996</v>
          </cell>
        </row>
        <row r="56">
          <cell r="E56">
            <v>41233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72839.638999999996</v>
          </cell>
          <cell r="N56">
            <v>72839.638999999996</v>
          </cell>
        </row>
        <row r="57">
          <cell r="E57">
            <v>41234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72839.638999999996</v>
          </cell>
          <cell r="N57">
            <v>72839.638999999996</v>
          </cell>
        </row>
        <row r="58">
          <cell r="E58">
            <v>41235</v>
          </cell>
          <cell r="F58">
            <v>8063.2160000000003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80902.854999999996</v>
          </cell>
          <cell r="N58">
            <v>80902.854999999996</v>
          </cell>
        </row>
        <row r="59">
          <cell r="E59">
            <v>41236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80902.854999999996</v>
          </cell>
          <cell r="N59">
            <v>80902.854999999996</v>
          </cell>
        </row>
        <row r="60">
          <cell r="E60">
            <v>41237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80902.854999999996</v>
          </cell>
          <cell r="N60">
            <v>80902.854999999996</v>
          </cell>
        </row>
        <row r="61">
          <cell r="E61">
            <v>41238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80902.854999999996</v>
          </cell>
          <cell r="N61">
            <v>80902.854999999996</v>
          </cell>
        </row>
        <row r="62">
          <cell r="E62">
            <v>41239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80902.854999999996</v>
          </cell>
          <cell r="N62">
            <v>80902.854999999996</v>
          </cell>
        </row>
        <row r="63">
          <cell r="E63">
            <v>41240</v>
          </cell>
          <cell r="F63">
            <v>8407.4969999999994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89310.351999999999</v>
          </cell>
          <cell r="N63">
            <v>89310.351999999999</v>
          </cell>
        </row>
        <row r="64">
          <cell r="E64">
            <v>41241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89310.351999999999</v>
          </cell>
          <cell r="N64">
            <v>89310.351999999999</v>
          </cell>
        </row>
        <row r="65">
          <cell r="E65">
            <v>41242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89310.351999999999</v>
          </cell>
          <cell r="N65">
            <v>89310.351999999999</v>
          </cell>
        </row>
        <row r="66">
          <cell r="E66">
            <v>41243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89310.351999999999</v>
          </cell>
          <cell r="N66">
            <v>89310.351999999999</v>
          </cell>
        </row>
        <row r="67">
          <cell r="E67">
            <v>41244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89310.351999999999</v>
          </cell>
          <cell r="N67">
            <v>89310.351999999999</v>
          </cell>
        </row>
        <row r="68">
          <cell r="E68">
            <v>41245</v>
          </cell>
          <cell r="F68">
            <v>7433.0829999999996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96743.434999999998</v>
          </cell>
          <cell r="N68">
            <v>96743.434999999998</v>
          </cell>
        </row>
        <row r="69">
          <cell r="E69">
            <v>41246</v>
          </cell>
          <cell r="F69">
            <v>8726.1779999999999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105469.613</v>
          </cell>
          <cell r="N69">
            <v>105469.613</v>
          </cell>
        </row>
        <row r="70">
          <cell r="E70">
            <v>41247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105469.613</v>
          </cell>
          <cell r="N70">
            <v>105469.613</v>
          </cell>
        </row>
        <row r="71">
          <cell r="E71">
            <v>41248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105469.613</v>
          </cell>
          <cell r="N71">
            <v>105469.613</v>
          </cell>
        </row>
        <row r="72">
          <cell r="E72">
            <v>41249</v>
          </cell>
          <cell r="F72">
            <v>8566.4719999999998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114036.08499999999</v>
          </cell>
          <cell r="N72">
            <v>114036.08499999999</v>
          </cell>
        </row>
        <row r="73">
          <cell r="E73">
            <v>41250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114036.08499999999</v>
          </cell>
          <cell r="N73">
            <v>114036.08499999999</v>
          </cell>
        </row>
        <row r="74">
          <cell r="E74">
            <v>41251</v>
          </cell>
          <cell r="F74">
            <v>7800.46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121836.545</v>
          </cell>
          <cell r="N74">
            <v>121836.545</v>
          </cell>
        </row>
        <row r="75">
          <cell r="E75">
            <v>41252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121836.545</v>
          </cell>
          <cell r="N75">
            <v>121836.545</v>
          </cell>
        </row>
        <row r="76">
          <cell r="E76">
            <v>41253</v>
          </cell>
          <cell r="F76">
            <v>8007.0230000000001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129843.568</v>
          </cell>
          <cell r="N76">
            <v>129843.568</v>
          </cell>
        </row>
        <row r="77">
          <cell r="E77">
            <v>41254</v>
          </cell>
          <cell r="F77">
            <v>9286.1350000000002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139129.70300000001</v>
          </cell>
          <cell r="N77">
            <v>139129.70300000001</v>
          </cell>
        </row>
        <row r="78">
          <cell r="E78">
            <v>41255</v>
          </cell>
          <cell r="F78">
            <v>7434.27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146563.973</v>
          </cell>
          <cell r="N78">
            <v>146563.973</v>
          </cell>
        </row>
        <row r="79">
          <cell r="E79">
            <v>41256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146563.973</v>
          </cell>
          <cell r="N79">
            <v>146563.973</v>
          </cell>
        </row>
        <row r="80">
          <cell r="E80">
            <v>41257</v>
          </cell>
          <cell r="F80">
            <v>7993.7139999999999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154557.68700000001</v>
          </cell>
          <cell r="N80">
            <v>154557.68700000001</v>
          </cell>
        </row>
        <row r="81">
          <cell r="E81">
            <v>41258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154557.68700000001</v>
          </cell>
          <cell r="N81">
            <v>154557.68700000001</v>
          </cell>
        </row>
        <row r="82">
          <cell r="E82">
            <v>41259</v>
          </cell>
          <cell r="F82">
            <v>7433.3779999999997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161991.065</v>
          </cell>
          <cell r="N82">
            <v>161991.065</v>
          </cell>
        </row>
        <row r="83">
          <cell r="E83">
            <v>41260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161991.065</v>
          </cell>
          <cell r="N83">
            <v>161991.065</v>
          </cell>
        </row>
        <row r="84">
          <cell r="E84">
            <v>41261</v>
          </cell>
          <cell r="F84">
            <v>8568.3109999999997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170559.37599999999</v>
          </cell>
          <cell r="N84">
            <v>170559.37599999999</v>
          </cell>
        </row>
        <row r="85">
          <cell r="E85">
            <v>41262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170559.37599999999</v>
          </cell>
          <cell r="N85">
            <v>170559.37599999999</v>
          </cell>
        </row>
        <row r="86">
          <cell r="E86">
            <v>41263</v>
          </cell>
          <cell r="F86">
            <v>7491.3779999999997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178050.75399999999</v>
          </cell>
          <cell r="N86">
            <v>178050.75399999999</v>
          </cell>
        </row>
        <row r="87">
          <cell r="E87">
            <v>41264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178050.75399999999</v>
          </cell>
          <cell r="N87">
            <v>178050.75399999999</v>
          </cell>
        </row>
        <row r="88">
          <cell r="E88">
            <v>41265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178050.75399999999</v>
          </cell>
          <cell r="N88">
            <v>178050.75399999999</v>
          </cell>
        </row>
        <row r="89">
          <cell r="E89">
            <v>41266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178050.75399999999</v>
          </cell>
          <cell r="N89">
            <v>178050.75399999999</v>
          </cell>
        </row>
        <row r="90">
          <cell r="E90">
            <v>41267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178050.75399999999</v>
          </cell>
          <cell r="N90">
            <v>178050.75399999999</v>
          </cell>
        </row>
        <row r="91">
          <cell r="E91">
            <v>41268</v>
          </cell>
          <cell r="F91">
            <v>0</v>
          </cell>
          <cell r="G91">
            <v>0</v>
          </cell>
          <cell r="H91">
            <v>0</v>
          </cell>
          <cell r="J91">
            <v>0</v>
          </cell>
          <cell r="K91">
            <v>178050.75399999999</v>
          </cell>
          <cell r="N91">
            <v>178050.75399999999</v>
          </cell>
        </row>
        <row r="92">
          <cell r="E92">
            <v>41269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178050.75399999999</v>
          </cell>
          <cell r="N92">
            <v>178050.75399999999</v>
          </cell>
        </row>
        <row r="93">
          <cell r="E93">
            <v>41270</v>
          </cell>
          <cell r="F93">
            <v>11455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189505.75399999999</v>
          </cell>
          <cell r="N93">
            <v>189505.75399999999</v>
          </cell>
        </row>
        <row r="94">
          <cell r="E94">
            <v>41271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189505.75399999999</v>
          </cell>
          <cell r="N94">
            <v>189505.75399999999</v>
          </cell>
        </row>
        <row r="95">
          <cell r="E95">
            <v>41272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189505.75399999999</v>
          </cell>
          <cell r="N95">
            <v>189505.75399999999</v>
          </cell>
        </row>
        <row r="96">
          <cell r="E96">
            <v>41273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189505.75399999999</v>
          </cell>
          <cell r="N96">
            <v>189505.75399999999</v>
          </cell>
        </row>
        <row r="97">
          <cell r="E97">
            <v>41274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189505.75399999999</v>
          </cell>
          <cell r="N97">
            <v>189505.75399999999</v>
          </cell>
        </row>
        <row r="98">
          <cell r="E98">
            <v>41275</v>
          </cell>
          <cell r="F98">
            <v>0</v>
          </cell>
          <cell r="G98" t="str">
            <v>0</v>
          </cell>
          <cell r="H98" t="str">
            <v>0</v>
          </cell>
          <cell r="I98" t="str">
            <v>0</v>
          </cell>
          <cell r="J98">
            <v>0</v>
          </cell>
          <cell r="K98">
            <v>189505.75399999999</v>
          </cell>
          <cell r="N98">
            <v>189505.75399999999</v>
          </cell>
        </row>
        <row r="99">
          <cell r="E99">
            <v>41276</v>
          </cell>
          <cell r="F99">
            <v>0</v>
          </cell>
          <cell r="G99" t="str">
            <v>0</v>
          </cell>
          <cell r="H99" t="str">
            <v>0</v>
          </cell>
          <cell r="I99" t="str">
            <v>0</v>
          </cell>
          <cell r="J99">
            <v>0</v>
          </cell>
          <cell r="K99">
            <v>189505.75399999999</v>
          </cell>
          <cell r="N99">
            <v>189505.75399999999</v>
          </cell>
        </row>
        <row r="100">
          <cell r="E100">
            <v>41277</v>
          </cell>
          <cell r="F100">
            <v>0</v>
          </cell>
          <cell r="G100" t="str">
            <v>0</v>
          </cell>
          <cell r="H100" t="str">
            <v>0</v>
          </cell>
          <cell r="I100" t="str">
            <v>0</v>
          </cell>
          <cell r="J100">
            <v>0</v>
          </cell>
          <cell r="K100">
            <v>189505.75399999999</v>
          </cell>
          <cell r="N100">
            <v>189505.75399999999</v>
          </cell>
        </row>
        <row r="101">
          <cell r="E101">
            <v>41278</v>
          </cell>
          <cell r="F101">
            <v>8624.2880000000005</v>
          </cell>
          <cell r="G101" t="str">
            <v>0</v>
          </cell>
          <cell r="H101" t="str">
            <v>0</v>
          </cell>
          <cell r="I101" t="str">
            <v>0</v>
          </cell>
          <cell r="J101">
            <v>0</v>
          </cell>
          <cell r="K101">
            <v>198130.04199999999</v>
          </cell>
          <cell r="N101">
            <v>198130.04199999999</v>
          </cell>
        </row>
        <row r="102">
          <cell r="E102">
            <v>41279</v>
          </cell>
          <cell r="F102">
            <v>0</v>
          </cell>
          <cell r="G102" t="str">
            <v>0</v>
          </cell>
          <cell r="H102" t="str">
            <v>0</v>
          </cell>
          <cell r="I102" t="str">
            <v>0</v>
          </cell>
          <cell r="J102">
            <v>0</v>
          </cell>
          <cell r="K102">
            <v>198130.04199999999</v>
          </cell>
          <cell r="N102">
            <v>198130.04199999999</v>
          </cell>
        </row>
        <row r="103">
          <cell r="E103">
            <v>41280</v>
          </cell>
          <cell r="F103">
            <v>0</v>
          </cell>
          <cell r="G103" t="str">
            <v>0</v>
          </cell>
          <cell r="H103" t="str">
            <v>0</v>
          </cell>
          <cell r="I103" t="str">
            <v>0</v>
          </cell>
          <cell r="J103">
            <v>0</v>
          </cell>
          <cell r="K103">
            <v>198130.04199999999</v>
          </cell>
          <cell r="N103">
            <v>198130.04199999999</v>
          </cell>
        </row>
        <row r="104">
          <cell r="E104">
            <v>41281</v>
          </cell>
          <cell r="F104">
            <v>0</v>
          </cell>
          <cell r="G104" t="str">
            <v>0</v>
          </cell>
          <cell r="H104" t="str">
            <v>0</v>
          </cell>
          <cell r="I104" t="str">
            <v>0</v>
          </cell>
          <cell r="J104">
            <v>0</v>
          </cell>
          <cell r="K104">
            <v>198130.04199999999</v>
          </cell>
          <cell r="N104">
            <v>198130.04199999999</v>
          </cell>
        </row>
        <row r="105">
          <cell r="E105">
            <v>41282</v>
          </cell>
          <cell r="F105">
            <v>7629.7340000000004</v>
          </cell>
          <cell r="G105" t="str">
            <v>0</v>
          </cell>
          <cell r="H105" t="str">
            <v>0</v>
          </cell>
          <cell r="I105" t="str">
            <v>0</v>
          </cell>
          <cell r="J105">
            <v>0</v>
          </cell>
          <cell r="K105">
            <v>205759.77599999998</v>
          </cell>
          <cell r="N105">
            <v>205759.77599999998</v>
          </cell>
        </row>
        <row r="106">
          <cell r="E106">
            <v>41283</v>
          </cell>
          <cell r="F106">
            <v>0</v>
          </cell>
          <cell r="G106" t="str">
            <v>0</v>
          </cell>
          <cell r="H106" t="str">
            <v>0</v>
          </cell>
          <cell r="I106" t="str">
            <v>0</v>
          </cell>
          <cell r="J106">
            <v>0</v>
          </cell>
          <cell r="K106">
            <v>205759.77599999998</v>
          </cell>
          <cell r="N106">
            <v>205759.77599999998</v>
          </cell>
        </row>
        <row r="107">
          <cell r="E107">
            <v>41284</v>
          </cell>
          <cell r="F107">
            <v>0</v>
          </cell>
          <cell r="G107" t="str">
            <v>0</v>
          </cell>
          <cell r="H107" t="str">
            <v>0</v>
          </cell>
          <cell r="I107" t="str">
            <v>0</v>
          </cell>
          <cell r="J107">
            <v>0</v>
          </cell>
          <cell r="K107">
            <v>205759.77599999998</v>
          </cell>
          <cell r="N107">
            <v>205759.77599999998</v>
          </cell>
        </row>
        <row r="108">
          <cell r="E108">
            <v>41285</v>
          </cell>
          <cell r="F108">
            <v>8044.9250000000002</v>
          </cell>
          <cell r="G108" t="str">
            <v>0</v>
          </cell>
          <cell r="H108" t="str">
            <v>0</v>
          </cell>
          <cell r="I108" t="str">
            <v>0</v>
          </cell>
          <cell r="J108">
            <v>0</v>
          </cell>
          <cell r="K108">
            <v>213804.70099999997</v>
          </cell>
          <cell r="N108">
            <v>213804.70099999997</v>
          </cell>
        </row>
        <row r="109">
          <cell r="E109">
            <v>41286</v>
          </cell>
          <cell r="F109">
            <v>0</v>
          </cell>
          <cell r="G109" t="str">
            <v>0</v>
          </cell>
          <cell r="H109" t="str">
            <v>0</v>
          </cell>
          <cell r="I109" t="str">
            <v>0</v>
          </cell>
          <cell r="J109">
            <v>0</v>
          </cell>
          <cell r="K109">
            <v>213804.70099999997</v>
          </cell>
          <cell r="N109">
            <v>213804.70099999997</v>
          </cell>
        </row>
        <row r="110">
          <cell r="E110">
            <v>41287</v>
          </cell>
          <cell r="F110">
            <v>8432.5689999999995</v>
          </cell>
          <cell r="G110" t="str">
            <v>0</v>
          </cell>
          <cell r="H110" t="str">
            <v>0</v>
          </cell>
          <cell r="I110" t="str">
            <v>0</v>
          </cell>
          <cell r="J110">
            <v>0</v>
          </cell>
          <cell r="K110">
            <v>222237.26999999996</v>
          </cell>
          <cell r="N110">
            <v>222237.26999999996</v>
          </cell>
        </row>
        <row r="111">
          <cell r="E111">
            <v>41288</v>
          </cell>
          <cell r="F111">
            <v>11536.17</v>
          </cell>
          <cell r="G111" t="str">
            <v>0</v>
          </cell>
          <cell r="H111" t="str">
            <v>0</v>
          </cell>
          <cell r="I111" t="str">
            <v>0</v>
          </cell>
          <cell r="J111">
            <v>0</v>
          </cell>
          <cell r="K111">
            <v>233773.43999999997</v>
          </cell>
          <cell r="N111">
            <v>233773.43999999997</v>
          </cell>
        </row>
        <row r="112">
          <cell r="E112">
            <v>41289</v>
          </cell>
          <cell r="F112">
            <v>0</v>
          </cell>
          <cell r="G112" t="str">
            <v>0</v>
          </cell>
          <cell r="H112" t="str">
            <v>0</v>
          </cell>
          <cell r="I112" t="str">
            <v>0</v>
          </cell>
          <cell r="J112">
            <v>0</v>
          </cell>
          <cell r="K112">
            <v>233773.43999999997</v>
          </cell>
          <cell r="N112">
            <v>233773.43999999997</v>
          </cell>
        </row>
        <row r="113">
          <cell r="E113">
            <v>41290</v>
          </cell>
          <cell r="F113">
            <v>0</v>
          </cell>
          <cell r="G113" t="str">
            <v>0</v>
          </cell>
          <cell r="H113" t="str">
            <v>0</v>
          </cell>
          <cell r="I113" t="str">
            <v>0</v>
          </cell>
          <cell r="J113">
            <v>0</v>
          </cell>
          <cell r="K113">
            <v>233773.43999999997</v>
          </cell>
          <cell r="N113">
            <v>233773.43999999997</v>
          </cell>
        </row>
        <row r="114">
          <cell r="E114">
            <v>41291</v>
          </cell>
          <cell r="F114">
            <v>0</v>
          </cell>
          <cell r="G114" t="str">
            <v>0</v>
          </cell>
          <cell r="H114" t="str">
            <v>0</v>
          </cell>
          <cell r="I114" t="str">
            <v>0</v>
          </cell>
          <cell r="J114">
            <v>0</v>
          </cell>
          <cell r="K114">
            <v>233773.43999999997</v>
          </cell>
          <cell r="N114">
            <v>233773.43999999997</v>
          </cell>
        </row>
        <row r="115">
          <cell r="E115">
            <v>41292</v>
          </cell>
          <cell r="F115">
            <v>0</v>
          </cell>
          <cell r="G115" t="str">
            <v>0</v>
          </cell>
          <cell r="H115" t="str">
            <v>0</v>
          </cell>
          <cell r="I115" t="str">
            <v>0</v>
          </cell>
          <cell r="J115">
            <v>0</v>
          </cell>
          <cell r="K115">
            <v>233773.43999999997</v>
          </cell>
          <cell r="N115">
            <v>233773.43999999997</v>
          </cell>
        </row>
        <row r="116">
          <cell r="E116">
            <v>41293</v>
          </cell>
          <cell r="F116">
            <v>0</v>
          </cell>
          <cell r="G116" t="str">
            <v>0</v>
          </cell>
          <cell r="H116" t="str">
            <v>0</v>
          </cell>
          <cell r="I116" t="str">
            <v>0</v>
          </cell>
          <cell r="J116">
            <v>0</v>
          </cell>
          <cell r="K116">
            <v>233773.43999999997</v>
          </cell>
          <cell r="N116">
            <v>233773.43999999997</v>
          </cell>
        </row>
        <row r="117">
          <cell r="E117">
            <v>41294</v>
          </cell>
          <cell r="F117">
            <v>0</v>
          </cell>
          <cell r="G117" t="str">
            <v>0</v>
          </cell>
          <cell r="H117" t="str">
            <v>0</v>
          </cell>
          <cell r="I117" t="str">
            <v>0</v>
          </cell>
          <cell r="J117">
            <v>0</v>
          </cell>
          <cell r="K117">
            <v>233773.43999999997</v>
          </cell>
          <cell r="N117">
            <v>233773.43999999997</v>
          </cell>
        </row>
        <row r="118">
          <cell r="E118">
            <v>41295</v>
          </cell>
          <cell r="F118">
            <v>0</v>
          </cell>
          <cell r="G118" t="str">
            <v>0</v>
          </cell>
          <cell r="H118" t="str">
            <v>0</v>
          </cell>
          <cell r="I118" t="str">
            <v>0</v>
          </cell>
          <cell r="J118">
            <v>0</v>
          </cell>
          <cell r="K118">
            <v>233773.43999999997</v>
          </cell>
          <cell r="N118">
            <v>233773.43999999997</v>
          </cell>
        </row>
        <row r="119">
          <cell r="E119">
            <v>41296</v>
          </cell>
          <cell r="F119">
            <v>0</v>
          </cell>
          <cell r="G119" t="str">
            <v>0</v>
          </cell>
          <cell r="H119" t="str">
            <v>0</v>
          </cell>
          <cell r="I119" t="str">
            <v>0</v>
          </cell>
          <cell r="J119">
            <v>0</v>
          </cell>
          <cell r="K119">
            <v>233773.43999999997</v>
          </cell>
          <cell r="N119">
            <v>233773.43999999997</v>
          </cell>
        </row>
        <row r="120">
          <cell r="E120">
            <v>41297</v>
          </cell>
          <cell r="F120">
            <v>7802.6459999999997</v>
          </cell>
          <cell r="G120" t="str">
            <v>0</v>
          </cell>
          <cell r="H120" t="str">
            <v>0</v>
          </cell>
          <cell r="I120" t="str">
            <v>0</v>
          </cell>
          <cell r="J120">
            <v>0</v>
          </cell>
          <cell r="K120">
            <v>241576.08599999998</v>
          </cell>
          <cell r="N120">
            <v>241576.08599999998</v>
          </cell>
        </row>
        <row r="121">
          <cell r="E121">
            <v>41298</v>
          </cell>
          <cell r="F121">
            <v>0</v>
          </cell>
          <cell r="G121" t="str">
            <v>0</v>
          </cell>
          <cell r="H121" t="str">
            <v>0</v>
          </cell>
          <cell r="I121" t="str">
            <v>0</v>
          </cell>
          <cell r="J121">
            <v>0</v>
          </cell>
          <cell r="K121">
            <v>241576.08599999998</v>
          </cell>
          <cell r="N121">
            <v>241576.08599999998</v>
          </cell>
        </row>
        <row r="122">
          <cell r="E122">
            <v>41299</v>
          </cell>
          <cell r="F122">
            <v>0</v>
          </cell>
          <cell r="G122" t="str">
            <v>0</v>
          </cell>
          <cell r="H122" t="str">
            <v>0</v>
          </cell>
          <cell r="I122" t="str">
            <v>0</v>
          </cell>
          <cell r="J122">
            <v>0</v>
          </cell>
          <cell r="K122">
            <v>241576.08599999998</v>
          </cell>
          <cell r="N122">
            <v>241576.08599999998</v>
          </cell>
        </row>
        <row r="123">
          <cell r="E123">
            <v>41300</v>
          </cell>
          <cell r="F123">
            <v>0</v>
          </cell>
          <cell r="G123" t="str">
            <v>0</v>
          </cell>
          <cell r="H123" t="str">
            <v>0</v>
          </cell>
          <cell r="I123" t="str">
            <v>0</v>
          </cell>
          <cell r="J123">
            <v>0</v>
          </cell>
          <cell r="K123">
            <v>241576.08599999998</v>
          </cell>
          <cell r="N123">
            <v>241576.08599999998</v>
          </cell>
        </row>
        <row r="124">
          <cell r="E124">
            <v>41301</v>
          </cell>
          <cell r="F124">
            <v>0</v>
          </cell>
          <cell r="G124" t="str">
            <v>0</v>
          </cell>
          <cell r="H124" t="str">
            <v>0</v>
          </cell>
          <cell r="I124" t="str">
            <v>0</v>
          </cell>
          <cell r="J124">
            <v>0</v>
          </cell>
          <cell r="K124">
            <v>241576.08599999998</v>
          </cell>
          <cell r="N124">
            <v>241576.08599999998</v>
          </cell>
        </row>
        <row r="125">
          <cell r="E125">
            <v>41302</v>
          </cell>
          <cell r="F125">
            <v>0</v>
          </cell>
          <cell r="G125" t="str">
            <v>0</v>
          </cell>
          <cell r="H125" t="str">
            <v>0</v>
          </cell>
          <cell r="I125" t="str">
            <v>0</v>
          </cell>
          <cell r="J125">
            <v>0</v>
          </cell>
          <cell r="K125">
            <v>241576.08599999998</v>
          </cell>
          <cell r="N125">
            <v>241576.08599999998</v>
          </cell>
        </row>
        <row r="126">
          <cell r="E126">
            <v>41303</v>
          </cell>
          <cell r="F126">
            <v>0</v>
          </cell>
          <cell r="G126" t="str">
            <v>0</v>
          </cell>
          <cell r="H126" t="str">
            <v>0</v>
          </cell>
          <cell r="I126" t="str">
            <v>0</v>
          </cell>
          <cell r="J126">
            <v>0</v>
          </cell>
          <cell r="K126">
            <v>241576.08599999998</v>
          </cell>
          <cell r="N126">
            <v>241576.08599999998</v>
          </cell>
        </row>
        <row r="127">
          <cell r="E127">
            <v>41304</v>
          </cell>
          <cell r="F127">
            <v>0</v>
          </cell>
          <cell r="G127">
            <v>124.304</v>
          </cell>
          <cell r="H127" t="str">
            <v>0</v>
          </cell>
          <cell r="I127" t="str">
            <v>0</v>
          </cell>
          <cell r="J127">
            <v>124.304</v>
          </cell>
          <cell r="K127">
            <v>241451.78199999998</v>
          </cell>
          <cell r="N127">
            <v>241451.78199999998</v>
          </cell>
        </row>
        <row r="128">
          <cell r="E128">
            <v>41305</v>
          </cell>
          <cell r="F128">
            <v>0</v>
          </cell>
          <cell r="G128">
            <v>248.13</v>
          </cell>
          <cell r="H128" t="str">
            <v>0</v>
          </cell>
          <cell r="I128" t="str">
            <v>0</v>
          </cell>
          <cell r="J128">
            <v>248.13</v>
          </cell>
          <cell r="K128">
            <v>241203.65199999997</v>
          </cell>
          <cell r="N128">
            <v>241203.65199999997</v>
          </cell>
        </row>
        <row r="129">
          <cell r="E129">
            <v>41306</v>
          </cell>
          <cell r="F129">
            <v>0</v>
          </cell>
          <cell r="G129" t="str">
            <v>0</v>
          </cell>
          <cell r="H129" t="str">
            <v>0</v>
          </cell>
          <cell r="I129" t="str">
            <v>0</v>
          </cell>
          <cell r="J129">
            <v>0</v>
          </cell>
          <cell r="K129">
            <v>241203.65199999997</v>
          </cell>
          <cell r="N129">
            <v>241203.65199999997</v>
          </cell>
        </row>
        <row r="130">
          <cell r="E130">
            <v>41307</v>
          </cell>
          <cell r="F130">
            <v>8343.0740000000005</v>
          </cell>
          <cell r="G130" t="str">
            <v>0</v>
          </cell>
          <cell r="H130" t="str">
            <v>0</v>
          </cell>
          <cell r="I130" t="str">
            <v>0</v>
          </cell>
          <cell r="J130">
            <v>0</v>
          </cell>
          <cell r="K130">
            <v>249546.72599999997</v>
          </cell>
          <cell r="N130">
            <v>249546.72599999997</v>
          </cell>
        </row>
        <row r="131">
          <cell r="E131">
            <v>41308</v>
          </cell>
          <cell r="F131">
            <v>0</v>
          </cell>
          <cell r="G131" t="str">
            <v>0</v>
          </cell>
          <cell r="H131" t="str">
            <v>0</v>
          </cell>
          <cell r="I131" t="str">
            <v>0</v>
          </cell>
          <cell r="J131">
            <v>0</v>
          </cell>
          <cell r="K131">
            <v>249546.72599999997</v>
          </cell>
          <cell r="N131">
            <v>249546.72599999997</v>
          </cell>
        </row>
        <row r="132">
          <cell r="E132">
            <v>41309</v>
          </cell>
          <cell r="F132">
            <v>0</v>
          </cell>
          <cell r="G132" t="str">
            <v>0</v>
          </cell>
          <cell r="H132" t="str">
            <v>0</v>
          </cell>
          <cell r="I132" t="str">
            <v>0</v>
          </cell>
          <cell r="J132">
            <v>0</v>
          </cell>
          <cell r="K132">
            <v>249546.72599999997</v>
          </cell>
          <cell r="N132">
            <v>249546.72599999997</v>
          </cell>
        </row>
        <row r="133">
          <cell r="E133">
            <v>41310</v>
          </cell>
          <cell r="F133">
            <v>0</v>
          </cell>
          <cell r="G133">
            <v>512.29999999999995</v>
          </cell>
          <cell r="H133" t="str">
            <v>0</v>
          </cell>
          <cell r="I133" t="str">
            <v>0</v>
          </cell>
          <cell r="J133">
            <v>512.29999999999995</v>
          </cell>
          <cell r="K133">
            <v>249034.42599999998</v>
          </cell>
          <cell r="N133">
            <v>249034.42599999998</v>
          </cell>
        </row>
        <row r="134">
          <cell r="E134">
            <v>41311</v>
          </cell>
          <cell r="F134">
            <v>0</v>
          </cell>
          <cell r="G134">
            <v>1300.903</v>
          </cell>
          <cell r="H134" t="str">
            <v>0</v>
          </cell>
          <cell r="I134" t="str">
            <v>0</v>
          </cell>
          <cell r="J134">
            <v>1300.903</v>
          </cell>
          <cell r="K134">
            <v>247733.52299999999</v>
          </cell>
          <cell r="N134">
            <v>247733.52299999999</v>
          </cell>
        </row>
        <row r="135">
          <cell r="E135">
            <v>41312</v>
          </cell>
          <cell r="F135">
            <v>0</v>
          </cell>
          <cell r="G135">
            <v>899.05600000000004</v>
          </cell>
          <cell r="H135" t="str">
            <v>0</v>
          </cell>
          <cell r="I135" t="str">
            <v>0</v>
          </cell>
          <cell r="J135">
            <v>899.05600000000004</v>
          </cell>
          <cell r="K135">
            <v>246834.46699999998</v>
          </cell>
          <cell r="N135">
            <v>246834.46699999998</v>
          </cell>
        </row>
        <row r="136">
          <cell r="E136">
            <v>41313</v>
          </cell>
          <cell r="F136">
            <v>0</v>
          </cell>
          <cell r="G136" t="str">
            <v>0</v>
          </cell>
          <cell r="H136" t="str">
            <v>0</v>
          </cell>
          <cell r="I136" t="str">
            <v>0</v>
          </cell>
          <cell r="J136">
            <v>0</v>
          </cell>
          <cell r="K136">
            <v>246834.46699999998</v>
          </cell>
          <cell r="N136">
            <v>246834.46699999998</v>
          </cell>
        </row>
        <row r="137">
          <cell r="E137">
            <v>41314</v>
          </cell>
          <cell r="F137">
            <v>0</v>
          </cell>
          <cell r="G137" t="str">
            <v>0</v>
          </cell>
          <cell r="H137" t="str">
            <v>0</v>
          </cell>
          <cell r="I137" t="str">
            <v>0</v>
          </cell>
          <cell r="J137">
            <v>0</v>
          </cell>
          <cell r="K137">
            <v>246834.46699999998</v>
          </cell>
          <cell r="N137">
            <v>246834.46699999998</v>
          </cell>
        </row>
        <row r="138">
          <cell r="E138">
            <v>41315</v>
          </cell>
          <cell r="F138">
            <v>0</v>
          </cell>
          <cell r="G138" t="str">
            <v>0</v>
          </cell>
          <cell r="H138" t="str">
            <v>0</v>
          </cell>
          <cell r="I138" t="str">
            <v>0</v>
          </cell>
          <cell r="J138">
            <v>0</v>
          </cell>
          <cell r="K138">
            <v>246834.46699999998</v>
          </cell>
          <cell r="N138">
            <v>246834.46699999998</v>
          </cell>
        </row>
        <row r="139">
          <cell r="E139">
            <v>41316</v>
          </cell>
          <cell r="F139">
            <v>0</v>
          </cell>
          <cell r="G139" t="str">
            <v>0</v>
          </cell>
          <cell r="H139" t="str">
            <v>0</v>
          </cell>
          <cell r="I139" t="str">
            <v>0</v>
          </cell>
          <cell r="J139">
            <v>0</v>
          </cell>
          <cell r="K139">
            <v>246834.46699999998</v>
          </cell>
          <cell r="N139">
            <v>246834.46699999998</v>
          </cell>
        </row>
        <row r="140">
          <cell r="E140">
            <v>41317</v>
          </cell>
          <cell r="F140">
            <v>0</v>
          </cell>
          <cell r="G140" t="str">
            <v>0</v>
          </cell>
          <cell r="H140" t="str">
            <v>0</v>
          </cell>
          <cell r="I140" t="str">
            <v>0</v>
          </cell>
          <cell r="J140">
            <v>0</v>
          </cell>
          <cell r="K140">
            <v>246834.46699999998</v>
          </cell>
          <cell r="N140">
            <v>246834.46699999998</v>
          </cell>
        </row>
        <row r="141">
          <cell r="E141">
            <v>41318</v>
          </cell>
          <cell r="F141">
            <v>0</v>
          </cell>
          <cell r="G141">
            <v>313.86500000000001</v>
          </cell>
          <cell r="H141" t="str">
            <v>0</v>
          </cell>
          <cell r="I141" t="str">
            <v>0</v>
          </cell>
          <cell r="J141">
            <v>313.86500000000001</v>
          </cell>
          <cell r="K141">
            <v>246520.60199999998</v>
          </cell>
          <cell r="N141">
            <v>246520.60199999998</v>
          </cell>
        </row>
        <row r="142">
          <cell r="E142">
            <v>41319</v>
          </cell>
          <cell r="F142">
            <v>0</v>
          </cell>
          <cell r="G142">
            <v>2264.3939999999998</v>
          </cell>
          <cell r="H142" t="str">
            <v>0</v>
          </cell>
          <cell r="I142" t="str">
            <v>0</v>
          </cell>
          <cell r="J142">
            <v>2264.3939999999998</v>
          </cell>
          <cell r="K142">
            <v>244256.20799999998</v>
          </cell>
          <cell r="N142">
            <v>244256.20799999998</v>
          </cell>
        </row>
        <row r="143">
          <cell r="E143">
            <v>41320</v>
          </cell>
          <cell r="F143">
            <v>0</v>
          </cell>
          <cell r="G143">
            <v>303.464</v>
          </cell>
          <cell r="H143" t="str">
            <v>0</v>
          </cell>
          <cell r="I143" t="str">
            <v>0</v>
          </cell>
          <cell r="J143">
            <v>303.464</v>
          </cell>
          <cell r="K143">
            <v>243952.74399999998</v>
          </cell>
          <cell r="N143">
            <v>243952.74399999998</v>
          </cell>
        </row>
        <row r="144">
          <cell r="E144">
            <v>41321</v>
          </cell>
          <cell r="F144">
            <v>0</v>
          </cell>
          <cell r="G144" t="str">
            <v>0</v>
          </cell>
          <cell r="H144" t="str">
            <v>0</v>
          </cell>
          <cell r="I144" t="str">
            <v>0</v>
          </cell>
          <cell r="J144">
            <v>0</v>
          </cell>
          <cell r="K144">
            <v>243952.74399999998</v>
          </cell>
          <cell r="N144">
            <v>243952.74399999998</v>
          </cell>
        </row>
        <row r="145">
          <cell r="E145">
            <v>41322</v>
          </cell>
          <cell r="F145">
            <v>0</v>
          </cell>
          <cell r="G145" t="str">
            <v>0</v>
          </cell>
          <cell r="H145" t="str">
            <v>0</v>
          </cell>
          <cell r="I145" t="str">
            <v>0</v>
          </cell>
          <cell r="J145">
            <v>0</v>
          </cell>
          <cell r="K145">
            <v>243952.74399999998</v>
          </cell>
          <cell r="N145">
            <v>243952.74399999998</v>
          </cell>
        </row>
        <row r="146">
          <cell r="E146">
            <v>41323</v>
          </cell>
          <cell r="F146">
            <v>0</v>
          </cell>
          <cell r="G146" t="str">
            <v>0</v>
          </cell>
          <cell r="H146" t="str">
            <v>0</v>
          </cell>
          <cell r="I146" t="str">
            <v>0</v>
          </cell>
          <cell r="J146">
            <v>0</v>
          </cell>
          <cell r="K146">
            <v>243952.74399999998</v>
          </cell>
          <cell r="N146">
            <v>243952.74399999998</v>
          </cell>
        </row>
        <row r="147">
          <cell r="E147">
            <v>41324</v>
          </cell>
          <cell r="F147">
            <v>0</v>
          </cell>
          <cell r="G147" t="str">
            <v>0</v>
          </cell>
          <cell r="H147" t="str">
            <v>0</v>
          </cell>
          <cell r="I147" t="str">
            <v>0</v>
          </cell>
          <cell r="J147">
            <v>0</v>
          </cell>
          <cell r="K147">
            <v>243952.74399999998</v>
          </cell>
          <cell r="N147">
            <v>243952.74399999998</v>
          </cell>
        </row>
        <row r="148">
          <cell r="E148">
            <v>41325</v>
          </cell>
          <cell r="F148">
            <v>0</v>
          </cell>
          <cell r="G148" t="str">
            <v>0</v>
          </cell>
          <cell r="H148" t="str">
            <v>0</v>
          </cell>
          <cell r="I148" t="str">
            <v>0</v>
          </cell>
          <cell r="J148">
            <v>0</v>
          </cell>
          <cell r="K148">
            <v>243952.74399999998</v>
          </cell>
          <cell r="N148">
            <v>243952.74399999998</v>
          </cell>
        </row>
        <row r="149">
          <cell r="E149">
            <v>41326</v>
          </cell>
          <cell r="F149">
            <v>0</v>
          </cell>
          <cell r="G149" t="str">
            <v>0</v>
          </cell>
          <cell r="H149" t="str">
            <v>0</v>
          </cell>
          <cell r="I149" t="str">
            <v>0</v>
          </cell>
          <cell r="J149">
            <v>0</v>
          </cell>
          <cell r="K149">
            <v>243952.74399999998</v>
          </cell>
          <cell r="N149">
            <v>243952.74399999998</v>
          </cell>
        </row>
        <row r="150">
          <cell r="E150">
            <v>41327</v>
          </cell>
          <cell r="F150">
            <v>0</v>
          </cell>
          <cell r="G150" t="str">
            <v>0</v>
          </cell>
          <cell r="H150" t="str">
            <v>0</v>
          </cell>
          <cell r="I150" t="str">
            <v>0</v>
          </cell>
          <cell r="J150">
            <v>0</v>
          </cell>
          <cell r="K150">
            <v>243952.74399999998</v>
          </cell>
          <cell r="N150">
            <v>243952.74399999998</v>
          </cell>
        </row>
        <row r="151">
          <cell r="E151">
            <v>41328</v>
          </cell>
          <cell r="F151">
            <v>0</v>
          </cell>
          <cell r="G151" t="str">
            <v>0</v>
          </cell>
          <cell r="H151" t="str">
            <v>0</v>
          </cell>
          <cell r="I151" t="str">
            <v>0</v>
          </cell>
          <cell r="J151">
            <v>0</v>
          </cell>
          <cell r="K151">
            <v>243952.74399999998</v>
          </cell>
          <cell r="N151">
            <v>243952.74399999998</v>
          </cell>
        </row>
        <row r="152">
          <cell r="E152">
            <v>41329</v>
          </cell>
          <cell r="F152">
            <v>0</v>
          </cell>
          <cell r="G152" t="str">
            <v>0</v>
          </cell>
          <cell r="H152" t="str">
            <v>0</v>
          </cell>
          <cell r="I152" t="str">
            <v>0</v>
          </cell>
          <cell r="J152">
            <v>0</v>
          </cell>
          <cell r="K152">
            <v>243952.74399999998</v>
          </cell>
          <cell r="N152">
            <v>243952.74399999998</v>
          </cell>
        </row>
        <row r="153">
          <cell r="E153">
            <v>41330</v>
          </cell>
          <cell r="F153">
            <v>0</v>
          </cell>
          <cell r="G153" t="str">
            <v>0</v>
          </cell>
          <cell r="H153" t="str">
            <v>0</v>
          </cell>
          <cell r="I153" t="str">
            <v>0</v>
          </cell>
          <cell r="J153">
            <v>0</v>
          </cell>
          <cell r="K153">
            <v>243952.74399999998</v>
          </cell>
          <cell r="N153">
            <v>243952.74399999998</v>
          </cell>
        </row>
        <row r="154">
          <cell r="E154">
            <v>41331</v>
          </cell>
          <cell r="F154">
            <v>0</v>
          </cell>
          <cell r="G154" t="str">
            <v>0</v>
          </cell>
          <cell r="H154" t="str">
            <v>0</v>
          </cell>
          <cell r="I154" t="str">
            <v>0</v>
          </cell>
          <cell r="J154">
            <v>0</v>
          </cell>
          <cell r="K154">
            <v>243952.74399999998</v>
          </cell>
          <cell r="N154">
            <v>243952.74399999998</v>
          </cell>
        </row>
        <row r="155">
          <cell r="E155">
            <v>41332</v>
          </cell>
          <cell r="F155">
            <v>0</v>
          </cell>
          <cell r="G155" t="str">
            <v>0</v>
          </cell>
          <cell r="H155" t="str">
            <v>0</v>
          </cell>
          <cell r="I155" t="str">
            <v>0</v>
          </cell>
          <cell r="J155">
            <v>0</v>
          </cell>
          <cell r="K155">
            <v>243952.74399999998</v>
          </cell>
          <cell r="N155">
            <v>243952.74399999998</v>
          </cell>
        </row>
        <row r="156">
          <cell r="E156">
            <v>41333</v>
          </cell>
          <cell r="F156">
            <v>0</v>
          </cell>
          <cell r="G156" t="str">
            <v>0</v>
          </cell>
          <cell r="H156" t="str">
            <v>0</v>
          </cell>
          <cell r="I156" t="str">
            <v>0</v>
          </cell>
          <cell r="J156">
            <v>0</v>
          </cell>
          <cell r="K156">
            <v>243952.74399999998</v>
          </cell>
          <cell r="N156">
            <v>243952.74399999998</v>
          </cell>
        </row>
        <row r="157">
          <cell r="E157">
            <v>41334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243952.74399999998</v>
          </cell>
          <cell r="N157">
            <v>243952.74399999998</v>
          </cell>
        </row>
        <row r="158">
          <cell r="E158">
            <v>41335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243952.74399999998</v>
          </cell>
          <cell r="N158">
            <v>243952.74399999998</v>
          </cell>
        </row>
        <row r="159">
          <cell r="E159">
            <v>41336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243952.74399999998</v>
          </cell>
          <cell r="N159">
            <v>243952.74399999998</v>
          </cell>
        </row>
        <row r="160">
          <cell r="E160">
            <v>41337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243952.74399999998</v>
          </cell>
          <cell r="N160">
            <v>243952.74399999998</v>
          </cell>
        </row>
        <row r="161">
          <cell r="E161">
            <v>41338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243952.74399999998</v>
          </cell>
          <cell r="N161">
            <v>243952.74399999998</v>
          </cell>
        </row>
        <row r="162">
          <cell r="E162">
            <v>41339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243952.74399999998</v>
          </cell>
          <cell r="N162">
            <v>243952.74399999998</v>
          </cell>
        </row>
        <row r="163">
          <cell r="E163">
            <v>41340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243952.74399999998</v>
          </cell>
          <cell r="N163">
            <v>243952.74399999998</v>
          </cell>
        </row>
        <row r="164">
          <cell r="E164">
            <v>41341</v>
          </cell>
          <cell r="F164">
            <v>7496.2920000000004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251449.03599999996</v>
          </cell>
          <cell r="N164">
            <v>251449.03599999996</v>
          </cell>
        </row>
        <row r="165">
          <cell r="E165">
            <v>41342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251449.03599999996</v>
          </cell>
          <cell r="N165">
            <v>251449.03599999996</v>
          </cell>
        </row>
        <row r="166">
          <cell r="E166">
            <v>41343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251449.03599999996</v>
          </cell>
          <cell r="N166">
            <v>251449.03599999996</v>
          </cell>
        </row>
        <row r="167">
          <cell r="E167">
            <v>41344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251449.03599999996</v>
          </cell>
          <cell r="N167">
            <v>251449.03599999996</v>
          </cell>
        </row>
        <row r="168">
          <cell r="E168">
            <v>41345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251449.03599999996</v>
          </cell>
          <cell r="N168">
            <v>251449.03599999996</v>
          </cell>
        </row>
        <row r="169">
          <cell r="E169">
            <v>41346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251449.03599999996</v>
          </cell>
          <cell r="N169">
            <v>251449.03599999996</v>
          </cell>
        </row>
        <row r="170">
          <cell r="E170">
            <v>41347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251449.03599999996</v>
          </cell>
          <cell r="N170">
            <v>251449.03599999996</v>
          </cell>
        </row>
        <row r="171">
          <cell r="E171">
            <v>41348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251449.03599999996</v>
          </cell>
          <cell r="N171">
            <v>251449.03599999996</v>
          </cell>
        </row>
        <row r="172">
          <cell r="E172">
            <v>41349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251449.03599999996</v>
          </cell>
          <cell r="N172">
            <v>251449.03599999996</v>
          </cell>
        </row>
        <row r="173">
          <cell r="E173">
            <v>41350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251449.03599999996</v>
          </cell>
          <cell r="N173">
            <v>251449.03599999996</v>
          </cell>
        </row>
        <row r="174">
          <cell r="E174">
            <v>41351</v>
          </cell>
          <cell r="F174">
            <v>7512.92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258961.95599999998</v>
          </cell>
          <cell r="N174">
            <v>258961.95599999998</v>
          </cell>
        </row>
        <row r="175">
          <cell r="E175">
            <v>41352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258961.95599999998</v>
          </cell>
          <cell r="N175">
            <v>258961.95599999998</v>
          </cell>
        </row>
        <row r="176">
          <cell r="E176">
            <v>41353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258961.95599999998</v>
          </cell>
          <cell r="N176">
            <v>258961.95599999998</v>
          </cell>
        </row>
        <row r="177">
          <cell r="E177">
            <v>41354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258961.95599999998</v>
          </cell>
          <cell r="N177">
            <v>258961.95599999998</v>
          </cell>
        </row>
        <row r="178">
          <cell r="E178">
            <v>41355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258961.95599999998</v>
          </cell>
          <cell r="N178">
            <v>258961.95599999998</v>
          </cell>
        </row>
        <row r="179">
          <cell r="E179">
            <v>41356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258961.95599999998</v>
          </cell>
          <cell r="N179">
            <v>258961.95599999998</v>
          </cell>
        </row>
        <row r="180">
          <cell r="E180">
            <v>41357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258961.95599999998</v>
          </cell>
          <cell r="N180">
            <v>258961.95599999998</v>
          </cell>
        </row>
        <row r="181">
          <cell r="E181">
            <v>41358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258961.95599999998</v>
          </cell>
          <cell r="N181">
            <v>258961.95599999998</v>
          </cell>
        </row>
        <row r="182">
          <cell r="E182">
            <v>41359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258961.95599999998</v>
          </cell>
          <cell r="N182">
            <v>258961.95599999998</v>
          </cell>
        </row>
        <row r="183">
          <cell r="E183">
            <v>41360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258961.95599999998</v>
          </cell>
          <cell r="N183">
            <v>258961.95599999998</v>
          </cell>
        </row>
        <row r="184">
          <cell r="E184">
            <v>41361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258961.95599999998</v>
          </cell>
          <cell r="N184">
            <v>258961.95599999998</v>
          </cell>
        </row>
        <row r="185">
          <cell r="E185">
            <v>41362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258961.95599999998</v>
          </cell>
          <cell r="N185">
            <v>258961.95599999998</v>
          </cell>
        </row>
        <row r="186">
          <cell r="E186">
            <v>41363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258961.95599999998</v>
          </cell>
          <cell r="N186">
            <v>258961.95599999998</v>
          </cell>
        </row>
        <row r="187">
          <cell r="E187">
            <v>41364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258961.95599999998</v>
          </cell>
          <cell r="N187">
            <v>258961.95599999998</v>
          </cell>
        </row>
        <row r="188">
          <cell r="E188">
            <v>41365</v>
          </cell>
          <cell r="F188">
            <v>0</v>
          </cell>
          <cell r="G188" t="str">
            <v>0</v>
          </cell>
          <cell r="H188" t="str">
            <v>0</v>
          </cell>
          <cell r="I188" t="str">
            <v>0</v>
          </cell>
          <cell r="J188">
            <v>0</v>
          </cell>
          <cell r="K188">
            <v>258961.95599999998</v>
          </cell>
          <cell r="N188">
            <v>258961.95599999998</v>
          </cell>
        </row>
        <row r="189">
          <cell r="E189">
            <v>41366</v>
          </cell>
          <cell r="F189">
            <v>0</v>
          </cell>
          <cell r="G189" t="str">
            <v>0</v>
          </cell>
          <cell r="H189" t="str">
            <v>0</v>
          </cell>
          <cell r="I189" t="str">
            <v>0</v>
          </cell>
          <cell r="J189">
            <v>0</v>
          </cell>
          <cell r="K189">
            <v>258961.95599999998</v>
          </cell>
          <cell r="N189">
            <v>258961.95599999998</v>
          </cell>
        </row>
        <row r="190">
          <cell r="E190">
            <v>41367</v>
          </cell>
          <cell r="F190">
            <v>0</v>
          </cell>
          <cell r="G190" t="str">
            <v>0</v>
          </cell>
          <cell r="H190" t="str">
            <v>0</v>
          </cell>
          <cell r="I190" t="str">
            <v>0</v>
          </cell>
          <cell r="J190">
            <v>0</v>
          </cell>
          <cell r="K190">
            <v>258961.95599999998</v>
          </cell>
          <cell r="N190">
            <v>258961.95599999998</v>
          </cell>
        </row>
        <row r="191">
          <cell r="E191">
            <v>41368</v>
          </cell>
          <cell r="F191">
            <v>0</v>
          </cell>
          <cell r="G191" t="str">
            <v>0</v>
          </cell>
          <cell r="H191" t="str">
            <v>0</v>
          </cell>
          <cell r="I191" t="str">
            <v>0</v>
          </cell>
          <cell r="J191">
            <v>0</v>
          </cell>
          <cell r="K191">
            <v>258961.95599999998</v>
          </cell>
          <cell r="N191">
            <v>258961.95599999998</v>
          </cell>
        </row>
        <row r="192">
          <cell r="E192">
            <v>41369</v>
          </cell>
          <cell r="F192">
            <v>0</v>
          </cell>
          <cell r="G192" t="str">
            <v>0</v>
          </cell>
          <cell r="H192" t="str">
            <v>0</v>
          </cell>
          <cell r="I192" t="str">
            <v>0</v>
          </cell>
          <cell r="J192">
            <v>0</v>
          </cell>
          <cell r="K192">
            <v>258961.95599999998</v>
          </cell>
          <cell r="N192">
            <v>258961.95599999998</v>
          </cell>
        </row>
        <row r="193">
          <cell r="E193">
            <v>41370</v>
          </cell>
          <cell r="F193">
            <v>0</v>
          </cell>
          <cell r="G193" t="str">
            <v>0</v>
          </cell>
          <cell r="H193" t="str">
            <v>0</v>
          </cell>
          <cell r="I193" t="str">
            <v>0</v>
          </cell>
          <cell r="J193">
            <v>0</v>
          </cell>
          <cell r="K193">
            <v>258961.95599999998</v>
          </cell>
          <cell r="N193">
            <v>258961.95599999998</v>
          </cell>
        </row>
        <row r="194">
          <cell r="E194">
            <v>41371</v>
          </cell>
          <cell r="F194">
            <v>0</v>
          </cell>
          <cell r="G194" t="str">
            <v>0</v>
          </cell>
          <cell r="H194" t="str">
            <v>0</v>
          </cell>
          <cell r="I194" t="str">
            <v>0</v>
          </cell>
          <cell r="J194">
            <v>0</v>
          </cell>
          <cell r="K194">
            <v>258961.95599999998</v>
          </cell>
          <cell r="N194">
            <v>258961.95599999998</v>
          </cell>
        </row>
        <row r="195">
          <cell r="E195">
            <v>41372</v>
          </cell>
          <cell r="F195">
            <v>0</v>
          </cell>
          <cell r="G195" t="str">
            <v>0</v>
          </cell>
          <cell r="H195" t="str">
            <v>0</v>
          </cell>
          <cell r="I195" t="str">
            <v>0</v>
          </cell>
          <cell r="J195">
            <v>0</v>
          </cell>
          <cell r="K195">
            <v>258961.95599999998</v>
          </cell>
          <cell r="N195">
            <v>258961.95599999998</v>
          </cell>
        </row>
        <row r="196">
          <cell r="E196">
            <v>41373</v>
          </cell>
          <cell r="F196">
            <v>0</v>
          </cell>
          <cell r="G196" t="str">
            <v>0</v>
          </cell>
          <cell r="H196" t="str">
            <v>0</v>
          </cell>
          <cell r="I196" t="str">
            <v>0</v>
          </cell>
          <cell r="J196">
            <v>0</v>
          </cell>
          <cell r="K196">
            <v>258961.95599999998</v>
          </cell>
          <cell r="N196">
            <v>258961.95599999998</v>
          </cell>
        </row>
        <row r="197">
          <cell r="E197">
            <v>41374</v>
          </cell>
          <cell r="F197">
            <v>0</v>
          </cell>
          <cell r="G197" t="str">
            <v>0</v>
          </cell>
          <cell r="H197" t="str">
            <v>0</v>
          </cell>
          <cell r="I197" t="str">
            <v>0</v>
          </cell>
          <cell r="J197">
            <v>0</v>
          </cell>
          <cell r="K197">
            <v>258961.95599999998</v>
          </cell>
          <cell r="N197">
            <v>258961.95599999998</v>
          </cell>
        </row>
        <row r="198">
          <cell r="E198">
            <v>41375</v>
          </cell>
          <cell r="F198">
            <v>0</v>
          </cell>
          <cell r="G198" t="str">
            <v>0</v>
          </cell>
          <cell r="H198" t="str">
            <v>0</v>
          </cell>
          <cell r="I198" t="str">
            <v>0</v>
          </cell>
          <cell r="J198">
            <v>0</v>
          </cell>
          <cell r="K198">
            <v>258961.95599999998</v>
          </cell>
          <cell r="N198">
            <v>258961.95599999998</v>
          </cell>
        </row>
        <row r="199">
          <cell r="E199">
            <v>41376</v>
          </cell>
          <cell r="F199">
            <v>0</v>
          </cell>
          <cell r="G199" t="str">
            <v>0</v>
          </cell>
          <cell r="H199" t="str">
            <v>0</v>
          </cell>
          <cell r="I199" t="str">
            <v>0</v>
          </cell>
          <cell r="J199">
            <v>0</v>
          </cell>
          <cell r="K199">
            <v>258961.95599999998</v>
          </cell>
          <cell r="N199">
            <v>258961.95599999998</v>
          </cell>
        </row>
        <row r="200">
          <cell r="E200">
            <v>41377</v>
          </cell>
          <cell r="F200">
            <v>0</v>
          </cell>
          <cell r="G200" t="str">
            <v>0</v>
          </cell>
          <cell r="H200" t="str">
            <v>0</v>
          </cell>
          <cell r="I200" t="str">
            <v>0</v>
          </cell>
          <cell r="J200">
            <v>0</v>
          </cell>
          <cell r="K200">
            <v>258961.95599999998</v>
          </cell>
          <cell r="N200">
            <v>258961.95599999998</v>
          </cell>
        </row>
        <row r="201">
          <cell r="E201">
            <v>41378</v>
          </cell>
          <cell r="F201">
            <v>0</v>
          </cell>
          <cell r="G201" t="str">
            <v>0</v>
          </cell>
          <cell r="H201" t="str">
            <v>0</v>
          </cell>
          <cell r="I201" t="str">
            <v>0</v>
          </cell>
          <cell r="J201">
            <v>0</v>
          </cell>
          <cell r="K201">
            <v>258961.95599999998</v>
          </cell>
          <cell r="N201">
            <v>258961.95599999998</v>
          </cell>
        </row>
        <row r="202">
          <cell r="E202">
            <v>41379</v>
          </cell>
          <cell r="F202">
            <v>0</v>
          </cell>
          <cell r="G202" t="str">
            <v>0</v>
          </cell>
          <cell r="H202" t="str">
            <v>0</v>
          </cell>
          <cell r="I202" t="str">
            <v>0</v>
          </cell>
          <cell r="J202">
            <v>0</v>
          </cell>
          <cell r="K202">
            <v>258961.95599999998</v>
          </cell>
          <cell r="N202">
            <v>258961.95599999998</v>
          </cell>
        </row>
        <row r="203">
          <cell r="E203">
            <v>41380</v>
          </cell>
          <cell r="F203">
            <v>0</v>
          </cell>
          <cell r="G203" t="str">
            <v>0</v>
          </cell>
          <cell r="H203" t="str">
            <v>0</v>
          </cell>
          <cell r="I203" t="str">
            <v>0</v>
          </cell>
          <cell r="J203">
            <v>0</v>
          </cell>
          <cell r="K203">
            <v>258961.95599999998</v>
          </cell>
          <cell r="N203">
            <v>258961.95599999998</v>
          </cell>
        </row>
        <row r="204">
          <cell r="E204">
            <v>41381</v>
          </cell>
          <cell r="F204">
            <v>0</v>
          </cell>
          <cell r="G204" t="str">
            <v>0</v>
          </cell>
          <cell r="H204" t="str">
            <v>0</v>
          </cell>
          <cell r="I204" t="str">
            <v>0</v>
          </cell>
          <cell r="J204">
            <v>0</v>
          </cell>
          <cell r="K204">
            <v>258961.95599999998</v>
          </cell>
          <cell r="N204">
            <v>258961.95599999998</v>
          </cell>
        </row>
        <row r="205">
          <cell r="E205">
            <v>41382</v>
          </cell>
          <cell r="F205">
            <v>0</v>
          </cell>
          <cell r="G205">
            <v>1295.1969999999999</v>
          </cell>
          <cell r="H205" t="str">
            <v>0</v>
          </cell>
          <cell r="I205" t="str">
            <v>0</v>
          </cell>
          <cell r="J205">
            <v>1295.1969999999999</v>
          </cell>
          <cell r="K205">
            <v>257666.75899999999</v>
          </cell>
          <cell r="N205">
            <v>257666.75899999999</v>
          </cell>
        </row>
        <row r="206">
          <cell r="E206">
            <v>41383</v>
          </cell>
          <cell r="F206">
            <v>0</v>
          </cell>
          <cell r="G206">
            <v>444.56700000000001</v>
          </cell>
          <cell r="H206" t="str">
            <v>0</v>
          </cell>
          <cell r="I206" t="str">
            <v>0</v>
          </cell>
          <cell r="J206">
            <v>444.56700000000001</v>
          </cell>
          <cell r="K206">
            <v>257222.19199999998</v>
          </cell>
          <cell r="N206">
            <v>257222.19199999998</v>
          </cell>
        </row>
        <row r="207">
          <cell r="E207">
            <v>41384</v>
          </cell>
          <cell r="F207">
            <v>0</v>
          </cell>
          <cell r="G207">
            <v>4868.9870000000001</v>
          </cell>
          <cell r="H207" t="str">
            <v>0</v>
          </cell>
          <cell r="I207" t="str">
            <v>0</v>
          </cell>
          <cell r="J207">
            <v>4868.9870000000001</v>
          </cell>
          <cell r="K207">
            <v>252353.20499999999</v>
          </cell>
          <cell r="N207">
            <v>252353.20499999999</v>
          </cell>
        </row>
        <row r="208">
          <cell r="E208">
            <v>41385</v>
          </cell>
          <cell r="F208">
            <v>0</v>
          </cell>
          <cell r="G208">
            <v>3614.5549999999998</v>
          </cell>
          <cell r="H208" t="str">
            <v>0</v>
          </cell>
          <cell r="I208" t="str">
            <v>0</v>
          </cell>
          <cell r="J208">
            <v>3614.5549999999998</v>
          </cell>
          <cell r="K208">
            <v>248738.65</v>
          </cell>
          <cell r="N208">
            <v>248738.65</v>
          </cell>
        </row>
        <row r="209">
          <cell r="E209">
            <v>41386</v>
          </cell>
          <cell r="F209">
            <v>0</v>
          </cell>
          <cell r="G209">
            <v>3192.7910000000002</v>
          </cell>
          <cell r="H209" t="str">
            <v>0</v>
          </cell>
          <cell r="I209" t="str">
            <v>0</v>
          </cell>
          <cell r="J209">
            <v>3192.7910000000002</v>
          </cell>
          <cell r="K209">
            <v>245545.859</v>
          </cell>
          <cell r="N209">
            <v>245545.859</v>
          </cell>
        </row>
        <row r="210">
          <cell r="E210">
            <v>41387</v>
          </cell>
          <cell r="F210">
            <v>0</v>
          </cell>
          <cell r="G210">
            <v>1114.5730000000001</v>
          </cell>
          <cell r="H210" t="str">
            <v>0</v>
          </cell>
          <cell r="I210" t="str">
            <v>0</v>
          </cell>
          <cell r="J210">
            <v>1114.5730000000001</v>
          </cell>
          <cell r="K210">
            <v>244431.28599999999</v>
          </cell>
          <cell r="N210">
            <v>244431.28599999999</v>
          </cell>
        </row>
        <row r="211">
          <cell r="E211">
            <v>41388</v>
          </cell>
          <cell r="F211">
            <v>0</v>
          </cell>
          <cell r="G211" t="str">
            <v>0</v>
          </cell>
          <cell r="H211" t="str">
            <v>0</v>
          </cell>
          <cell r="I211" t="str">
            <v>0</v>
          </cell>
          <cell r="J211">
            <v>0</v>
          </cell>
          <cell r="K211">
            <v>244431.28599999999</v>
          </cell>
          <cell r="N211">
            <v>244431.28599999999</v>
          </cell>
        </row>
        <row r="212">
          <cell r="E212">
            <v>41389</v>
          </cell>
          <cell r="F212">
            <v>0</v>
          </cell>
          <cell r="G212" t="str">
            <v>0</v>
          </cell>
          <cell r="H212" t="str">
            <v>0</v>
          </cell>
          <cell r="I212" t="str">
            <v>0</v>
          </cell>
          <cell r="J212">
            <v>0</v>
          </cell>
          <cell r="K212">
            <v>244431.28599999999</v>
          </cell>
          <cell r="N212">
            <v>244431.28599999999</v>
          </cell>
        </row>
        <row r="213">
          <cell r="E213">
            <v>41390</v>
          </cell>
          <cell r="F213">
            <v>0</v>
          </cell>
          <cell r="G213" t="str">
            <v>0</v>
          </cell>
          <cell r="H213" t="str">
            <v>0</v>
          </cell>
          <cell r="I213" t="str">
            <v>0</v>
          </cell>
          <cell r="J213">
            <v>0</v>
          </cell>
          <cell r="K213">
            <v>244431.28599999999</v>
          </cell>
          <cell r="N213">
            <v>244431.28599999999</v>
          </cell>
        </row>
        <row r="214">
          <cell r="E214">
            <v>41391</v>
          </cell>
          <cell r="F214">
            <v>0</v>
          </cell>
          <cell r="G214" t="str">
            <v>0</v>
          </cell>
          <cell r="H214" t="str">
            <v>0</v>
          </cell>
          <cell r="I214" t="str">
            <v>0</v>
          </cell>
          <cell r="J214">
            <v>0</v>
          </cell>
          <cell r="K214">
            <v>244431.28599999999</v>
          </cell>
          <cell r="N214">
            <v>244431.28599999999</v>
          </cell>
        </row>
        <row r="215">
          <cell r="E215">
            <v>41392</v>
          </cell>
          <cell r="F215">
            <v>0</v>
          </cell>
          <cell r="G215" t="str">
            <v>0</v>
          </cell>
          <cell r="H215" t="str">
            <v>0</v>
          </cell>
          <cell r="I215" t="str">
            <v>0</v>
          </cell>
          <cell r="J215">
            <v>0</v>
          </cell>
          <cell r="K215">
            <v>244431.28599999999</v>
          </cell>
          <cell r="N215">
            <v>244431.28599999999</v>
          </cell>
        </row>
        <row r="216">
          <cell r="E216">
            <v>41393</v>
          </cell>
          <cell r="F216">
            <v>0</v>
          </cell>
          <cell r="G216" t="str">
            <v>0</v>
          </cell>
          <cell r="H216" t="str">
            <v>0</v>
          </cell>
          <cell r="I216" t="str">
            <v>0</v>
          </cell>
          <cell r="J216">
            <v>0</v>
          </cell>
          <cell r="K216">
            <v>244431.28599999999</v>
          </cell>
          <cell r="N216">
            <v>244431.28599999999</v>
          </cell>
        </row>
        <row r="217">
          <cell r="E217">
            <v>41394</v>
          </cell>
          <cell r="F217">
            <v>0</v>
          </cell>
          <cell r="G217" t="str">
            <v>0</v>
          </cell>
          <cell r="H217" t="str">
            <v>0</v>
          </cell>
          <cell r="I217" t="str">
            <v>0</v>
          </cell>
          <cell r="J217">
            <v>0</v>
          </cell>
          <cell r="K217">
            <v>244431.28599999999</v>
          </cell>
          <cell r="N217">
            <v>244431.28599999999</v>
          </cell>
        </row>
        <row r="218">
          <cell r="E218">
            <v>41395</v>
          </cell>
          <cell r="G218" t="str">
            <v>0</v>
          </cell>
          <cell r="H218" t="str">
            <v>0</v>
          </cell>
          <cell r="I218" t="str">
            <v>0</v>
          </cell>
          <cell r="J218">
            <v>0</v>
          </cell>
          <cell r="K218">
            <v>244431.28599999999</v>
          </cell>
          <cell r="N218">
            <v>244431.28599999999</v>
          </cell>
        </row>
        <row r="219">
          <cell r="E219">
            <v>41396</v>
          </cell>
          <cell r="G219" t="str">
            <v>0</v>
          </cell>
          <cell r="H219" t="str">
            <v>0</v>
          </cell>
          <cell r="I219" t="str">
            <v>0</v>
          </cell>
          <cell r="J219">
            <v>0</v>
          </cell>
          <cell r="K219">
            <v>244431.28599999999</v>
          </cell>
          <cell r="N219">
            <v>244431.28599999999</v>
          </cell>
        </row>
        <row r="220">
          <cell r="E220">
            <v>41397</v>
          </cell>
          <cell r="G220">
            <v>452.24799999999999</v>
          </cell>
          <cell r="H220" t="str">
            <v>0</v>
          </cell>
          <cell r="I220" t="str">
            <v>0</v>
          </cell>
          <cell r="J220">
            <v>452.24799999999999</v>
          </cell>
          <cell r="K220">
            <v>243979.038</v>
          </cell>
          <cell r="N220">
            <v>243979.038</v>
          </cell>
        </row>
        <row r="221">
          <cell r="E221">
            <v>41398</v>
          </cell>
          <cell r="G221">
            <v>3148.7370000000001</v>
          </cell>
          <cell r="H221" t="str">
            <v>0</v>
          </cell>
          <cell r="I221" t="str">
            <v>0</v>
          </cell>
          <cell r="J221">
            <v>3148.7370000000001</v>
          </cell>
          <cell r="K221">
            <v>240830.30100000001</v>
          </cell>
          <cell r="N221">
            <v>240830.30100000001</v>
          </cell>
        </row>
        <row r="222">
          <cell r="E222">
            <v>41399</v>
          </cell>
          <cell r="G222">
            <v>2993.3270000000002</v>
          </cell>
          <cell r="H222" t="str">
            <v>0</v>
          </cell>
          <cell r="I222" t="str">
            <v>0</v>
          </cell>
          <cell r="J222">
            <v>2993.3270000000002</v>
          </cell>
          <cell r="K222">
            <v>237836.97400000002</v>
          </cell>
          <cell r="N222">
            <v>237836.97400000002</v>
          </cell>
        </row>
        <row r="223">
          <cell r="E223">
            <v>41400</v>
          </cell>
          <cell r="G223">
            <v>1760.605</v>
          </cell>
          <cell r="H223" t="str">
            <v>0</v>
          </cell>
          <cell r="I223" t="str">
            <v>0</v>
          </cell>
          <cell r="J223">
            <v>1760.605</v>
          </cell>
          <cell r="K223">
            <v>236076.36900000001</v>
          </cell>
          <cell r="N223">
            <v>236076.36900000001</v>
          </cell>
        </row>
        <row r="224">
          <cell r="E224">
            <v>41401</v>
          </cell>
          <cell r="G224">
            <v>3719.6709999999998</v>
          </cell>
          <cell r="H224" t="str">
            <v>0</v>
          </cell>
          <cell r="I224" t="str">
            <v>0</v>
          </cell>
          <cell r="J224">
            <v>3719.6709999999998</v>
          </cell>
          <cell r="K224">
            <v>232356.698</v>
          </cell>
          <cell r="N224">
            <v>232356.698</v>
          </cell>
        </row>
        <row r="225">
          <cell r="E225">
            <v>41402</v>
          </cell>
          <cell r="G225">
            <v>3207.5140000000001</v>
          </cell>
          <cell r="H225" t="str">
            <v>0</v>
          </cell>
          <cell r="I225" t="str">
            <v>0</v>
          </cell>
          <cell r="J225">
            <v>3207.5140000000001</v>
          </cell>
          <cell r="K225">
            <v>229149.18400000001</v>
          </cell>
          <cell r="N225">
            <v>229149.18400000001</v>
          </cell>
        </row>
        <row r="226">
          <cell r="E226">
            <v>41403</v>
          </cell>
          <cell r="G226">
            <v>3346.9650000000001</v>
          </cell>
          <cell r="H226" t="str">
            <v>0</v>
          </cell>
          <cell r="I226" t="str">
            <v>0</v>
          </cell>
          <cell r="J226">
            <v>3346.9650000000001</v>
          </cell>
          <cell r="K226">
            <v>225802.21900000001</v>
          </cell>
          <cell r="N226">
            <v>225802.21900000001</v>
          </cell>
        </row>
        <row r="227">
          <cell r="E227">
            <v>41404</v>
          </cell>
          <cell r="G227">
            <v>3242.6439999999998</v>
          </cell>
          <cell r="H227" t="str">
            <v>0</v>
          </cell>
          <cell r="I227" t="str">
            <v>0</v>
          </cell>
          <cell r="J227">
            <v>3242.6439999999998</v>
          </cell>
          <cell r="K227">
            <v>222559.57500000001</v>
          </cell>
          <cell r="N227">
            <v>222559.57500000001</v>
          </cell>
        </row>
        <row r="228">
          <cell r="E228">
            <v>41405</v>
          </cell>
          <cell r="G228">
            <v>3740.627</v>
          </cell>
          <cell r="H228" t="str">
            <v>0</v>
          </cell>
          <cell r="I228" t="str">
            <v>0</v>
          </cell>
          <cell r="J228">
            <v>3740.627</v>
          </cell>
          <cell r="K228">
            <v>218818.948</v>
          </cell>
          <cell r="N228">
            <v>218818.948</v>
          </cell>
        </row>
        <row r="229">
          <cell r="E229">
            <v>41406</v>
          </cell>
          <cell r="G229">
            <v>3764.9180000000001</v>
          </cell>
          <cell r="H229" t="str">
            <v>0</v>
          </cell>
          <cell r="I229" t="str">
            <v>0</v>
          </cell>
          <cell r="J229">
            <v>3764.9180000000001</v>
          </cell>
          <cell r="K229">
            <v>215054.03</v>
          </cell>
          <cell r="N229">
            <v>215054.03</v>
          </cell>
        </row>
        <row r="230">
          <cell r="E230">
            <v>41407</v>
          </cell>
          <cell r="G230">
            <v>4101.665</v>
          </cell>
          <cell r="H230" t="str">
            <v>0</v>
          </cell>
          <cell r="I230" t="str">
            <v>0</v>
          </cell>
          <cell r="J230">
            <v>4101.665</v>
          </cell>
          <cell r="K230">
            <v>210952.36499999999</v>
          </cell>
          <cell r="N230">
            <v>210952.36499999999</v>
          </cell>
        </row>
        <row r="231">
          <cell r="E231">
            <v>41408</v>
          </cell>
          <cell r="G231">
            <v>4136.7179999999998</v>
          </cell>
          <cell r="H231" t="str">
            <v>0</v>
          </cell>
          <cell r="I231" t="str">
            <v>0</v>
          </cell>
          <cell r="J231">
            <v>4136.7179999999998</v>
          </cell>
          <cell r="K231">
            <v>206815.647</v>
          </cell>
          <cell r="N231">
            <v>206815.647</v>
          </cell>
        </row>
        <row r="232">
          <cell r="E232">
            <v>41409</v>
          </cell>
          <cell r="G232">
            <v>2773.0819999999999</v>
          </cell>
          <cell r="H232" t="str">
            <v>0</v>
          </cell>
          <cell r="I232" t="str">
            <v>0</v>
          </cell>
          <cell r="J232">
            <v>2773.0819999999999</v>
          </cell>
          <cell r="K232">
            <v>204042.565</v>
          </cell>
          <cell r="N232">
            <v>204042.565</v>
          </cell>
        </row>
        <row r="233">
          <cell r="E233">
            <v>41410</v>
          </cell>
          <cell r="G233">
            <v>1568.7429999999999</v>
          </cell>
          <cell r="H233" t="str">
            <v>0</v>
          </cell>
          <cell r="I233" t="str">
            <v>0</v>
          </cell>
          <cell r="J233">
            <v>1568.7429999999999</v>
          </cell>
          <cell r="K233">
            <v>202473.82200000001</v>
          </cell>
          <cell r="N233">
            <v>202473.82200000001</v>
          </cell>
        </row>
        <row r="234">
          <cell r="E234">
            <v>41411</v>
          </cell>
          <cell r="G234" t="str">
            <v>0</v>
          </cell>
          <cell r="H234" t="str">
            <v>0</v>
          </cell>
          <cell r="I234" t="str">
            <v>0</v>
          </cell>
          <cell r="J234">
            <v>0</v>
          </cell>
          <cell r="K234">
            <v>202473.82200000001</v>
          </cell>
          <cell r="N234">
            <v>202473.82200000001</v>
          </cell>
        </row>
        <row r="235">
          <cell r="E235">
            <v>41412</v>
          </cell>
          <cell r="G235">
            <v>631.40300000000002</v>
          </cell>
          <cell r="H235" t="str">
            <v>0</v>
          </cell>
          <cell r="I235" t="str">
            <v>0</v>
          </cell>
          <cell r="J235">
            <v>631.40300000000002</v>
          </cell>
          <cell r="K235">
            <v>201842.41900000002</v>
          </cell>
          <cell r="N235">
            <v>201842.41900000002</v>
          </cell>
        </row>
        <row r="236">
          <cell r="E236">
            <v>41413</v>
          </cell>
          <cell r="G236">
            <v>3671.3919999999998</v>
          </cell>
          <cell r="H236" t="str">
            <v>0</v>
          </cell>
          <cell r="I236" t="str">
            <v>0</v>
          </cell>
          <cell r="J236">
            <v>3671.3919999999998</v>
          </cell>
          <cell r="K236">
            <v>198171.02700000003</v>
          </cell>
          <cell r="N236">
            <v>198171.02700000003</v>
          </cell>
        </row>
        <row r="237">
          <cell r="E237">
            <v>41414</v>
          </cell>
          <cell r="G237">
            <v>3146.0949999999998</v>
          </cell>
          <cell r="H237" t="str">
            <v>0</v>
          </cell>
          <cell r="I237" t="str">
            <v>0</v>
          </cell>
          <cell r="J237">
            <v>3146.0949999999998</v>
          </cell>
          <cell r="K237">
            <v>195024.93200000003</v>
          </cell>
          <cell r="N237">
            <v>195024.93200000003</v>
          </cell>
        </row>
        <row r="238">
          <cell r="E238">
            <v>41415</v>
          </cell>
          <cell r="F238">
            <v>7619.1189999999997</v>
          </cell>
          <cell r="G238">
            <v>3126.9029999999998</v>
          </cell>
          <cell r="H238" t="str">
            <v>0</v>
          </cell>
          <cell r="I238" t="str">
            <v>0</v>
          </cell>
          <cell r="J238">
            <v>3126.9029999999998</v>
          </cell>
          <cell r="K238">
            <v>199517.14800000004</v>
          </cell>
          <cell r="N238">
            <v>199517.14800000004</v>
          </cell>
        </row>
        <row r="239">
          <cell r="E239">
            <v>41416</v>
          </cell>
          <cell r="G239">
            <v>4230.3779999999997</v>
          </cell>
          <cell r="H239" t="str">
            <v>0</v>
          </cell>
          <cell r="I239" t="str">
            <v>0</v>
          </cell>
          <cell r="J239">
            <v>4230.3779999999997</v>
          </cell>
          <cell r="K239">
            <v>195286.77000000005</v>
          </cell>
          <cell r="N239">
            <v>195286.77000000005</v>
          </cell>
        </row>
        <row r="240">
          <cell r="E240">
            <v>41417</v>
          </cell>
          <cell r="G240">
            <v>4121.2950000000001</v>
          </cell>
          <cell r="H240" t="str">
            <v>0</v>
          </cell>
          <cell r="I240" t="str">
            <v>0</v>
          </cell>
          <cell r="J240">
            <v>4121.2950000000001</v>
          </cell>
          <cell r="K240">
            <v>191165.47500000003</v>
          </cell>
          <cell r="N240">
            <v>191165.47500000003</v>
          </cell>
        </row>
        <row r="241">
          <cell r="E241">
            <v>41418</v>
          </cell>
          <cell r="G241">
            <v>2988.7620000000002</v>
          </cell>
          <cell r="H241" t="str">
            <v>0</v>
          </cell>
          <cell r="I241" t="str">
            <v>0</v>
          </cell>
          <cell r="J241">
            <v>2988.7620000000002</v>
          </cell>
          <cell r="K241">
            <v>188176.71300000005</v>
          </cell>
          <cell r="N241">
            <v>188176.71300000005</v>
          </cell>
        </row>
        <row r="242">
          <cell r="E242">
            <v>41419</v>
          </cell>
          <cell r="G242">
            <v>3580.4989999999998</v>
          </cell>
          <cell r="H242" t="str">
            <v>0</v>
          </cell>
          <cell r="I242" t="str">
            <v>0</v>
          </cell>
          <cell r="J242">
            <v>3580.4989999999998</v>
          </cell>
          <cell r="K242">
            <v>184596.21400000004</v>
          </cell>
          <cell r="N242">
            <v>184596.21400000004</v>
          </cell>
        </row>
        <row r="243">
          <cell r="E243">
            <v>41420</v>
          </cell>
          <cell r="G243">
            <v>73.215000000000003</v>
          </cell>
          <cell r="H243" t="str">
            <v>0</v>
          </cell>
          <cell r="I243" t="str">
            <v>0</v>
          </cell>
          <cell r="J243">
            <v>73.215000000000003</v>
          </cell>
          <cell r="K243">
            <v>184522.99900000004</v>
          </cell>
          <cell r="N243">
            <v>184522.99900000004</v>
          </cell>
        </row>
        <row r="244">
          <cell r="E244">
            <v>41421</v>
          </cell>
          <cell r="G244">
            <v>3741.6819999999998</v>
          </cell>
          <cell r="H244" t="str">
            <v>0</v>
          </cell>
          <cell r="I244" t="str">
            <v>0</v>
          </cell>
          <cell r="J244">
            <v>3741.6819999999998</v>
          </cell>
          <cell r="K244">
            <v>180781.31700000004</v>
          </cell>
          <cell r="N244">
            <v>180781.31700000004</v>
          </cell>
        </row>
        <row r="245">
          <cell r="E245">
            <v>41422</v>
          </cell>
          <cell r="G245">
            <v>3756.9229999999998</v>
          </cell>
          <cell r="H245" t="str">
            <v>0</v>
          </cell>
          <cell r="I245" t="str">
            <v>0</v>
          </cell>
          <cell r="J245">
            <v>3756.9229999999998</v>
          </cell>
          <cell r="K245">
            <v>177024.39400000003</v>
          </cell>
          <cell r="N245">
            <v>177024.39400000003</v>
          </cell>
        </row>
        <row r="246">
          <cell r="E246">
            <v>41423</v>
          </cell>
          <cell r="G246">
            <v>3672.777</v>
          </cell>
          <cell r="H246" t="str">
            <v>0</v>
          </cell>
          <cell r="I246" t="str">
            <v>0</v>
          </cell>
          <cell r="J246">
            <v>3672.777</v>
          </cell>
          <cell r="K246">
            <v>173351.61700000003</v>
          </cell>
          <cell r="N246">
            <v>173351.61700000003</v>
          </cell>
        </row>
        <row r="247">
          <cell r="E247">
            <v>41424</v>
          </cell>
          <cell r="G247">
            <v>3637.94</v>
          </cell>
          <cell r="H247">
            <v>496.46600000000001</v>
          </cell>
          <cell r="I247" t="str">
            <v>0</v>
          </cell>
          <cell r="J247">
            <v>4134.4059999999999</v>
          </cell>
          <cell r="K247">
            <v>169217.21100000004</v>
          </cell>
          <cell r="N247">
            <v>169217.21100000004</v>
          </cell>
        </row>
        <row r="248">
          <cell r="E248">
            <v>41425</v>
          </cell>
          <cell r="G248">
            <v>822.04</v>
          </cell>
          <cell r="H248">
            <v>1226.7049999999999</v>
          </cell>
          <cell r="I248">
            <v>0</v>
          </cell>
          <cell r="J248">
            <v>2048.7449999999999</v>
          </cell>
          <cell r="K248">
            <v>167168.46600000004</v>
          </cell>
          <cell r="N248">
            <v>167168.46600000004</v>
          </cell>
        </row>
        <row r="249">
          <cell r="E249">
            <v>41426</v>
          </cell>
          <cell r="F249">
            <v>0</v>
          </cell>
          <cell r="G249">
            <v>3576.2730000000001</v>
          </cell>
          <cell r="H249">
            <v>903.12699999999995</v>
          </cell>
          <cell r="I249" t="str">
            <v>0</v>
          </cell>
          <cell r="J249">
            <v>4479.3999999999996</v>
          </cell>
          <cell r="K249">
            <v>162689.06600000005</v>
          </cell>
          <cell r="N249">
            <v>162689.06600000005</v>
          </cell>
        </row>
        <row r="250">
          <cell r="E250">
            <v>41427</v>
          </cell>
          <cell r="F250">
            <v>0</v>
          </cell>
          <cell r="G250">
            <v>3770.3679999999999</v>
          </cell>
          <cell r="H250" t="str">
            <v>0</v>
          </cell>
          <cell r="I250" t="str">
            <v>0</v>
          </cell>
          <cell r="J250">
            <v>3770.3679999999999</v>
          </cell>
          <cell r="K250">
            <v>158918.69800000006</v>
          </cell>
          <cell r="N250">
            <v>158918.69800000006</v>
          </cell>
        </row>
        <row r="251">
          <cell r="E251">
            <v>41428</v>
          </cell>
          <cell r="F251">
            <v>0</v>
          </cell>
          <cell r="G251">
            <v>3670.9830000000002</v>
          </cell>
          <cell r="H251" t="str">
            <v>0</v>
          </cell>
          <cell r="I251" t="str">
            <v>0</v>
          </cell>
          <cell r="J251">
            <v>3670.9830000000002</v>
          </cell>
          <cell r="K251">
            <v>155247.71500000005</v>
          </cell>
          <cell r="N251">
            <v>155247.71500000005</v>
          </cell>
        </row>
        <row r="252">
          <cell r="E252">
            <v>41429</v>
          </cell>
          <cell r="F252">
            <v>0</v>
          </cell>
          <cell r="G252">
            <v>4309.6009999999997</v>
          </cell>
          <cell r="H252" t="str">
            <v>0</v>
          </cell>
          <cell r="I252" t="str">
            <v>0</v>
          </cell>
          <cell r="J252">
            <v>4309.6009999999997</v>
          </cell>
          <cell r="K252">
            <v>150938.11400000006</v>
          </cell>
          <cell r="N252">
            <v>150938.11400000006</v>
          </cell>
        </row>
        <row r="253">
          <cell r="E253">
            <v>41430</v>
          </cell>
          <cell r="F253">
            <v>0</v>
          </cell>
          <cell r="G253">
            <v>4316.942</v>
          </cell>
          <cell r="H253" t="str">
            <v>0</v>
          </cell>
          <cell r="I253" t="str">
            <v>0</v>
          </cell>
          <cell r="J253">
            <v>4316.942</v>
          </cell>
          <cell r="K253">
            <v>146621.17200000005</v>
          </cell>
          <cell r="N253">
            <v>146621.17200000005</v>
          </cell>
        </row>
        <row r="254">
          <cell r="E254">
            <v>41431</v>
          </cell>
          <cell r="F254">
            <v>0</v>
          </cell>
          <cell r="G254">
            <v>3818.451</v>
          </cell>
          <cell r="H254" t="str">
            <v>0</v>
          </cell>
          <cell r="I254" t="str">
            <v>0</v>
          </cell>
          <cell r="J254">
            <v>3818.451</v>
          </cell>
          <cell r="K254">
            <v>142802.72100000005</v>
          </cell>
          <cell r="N254">
            <v>142802.72100000005</v>
          </cell>
        </row>
        <row r="255">
          <cell r="E255">
            <v>41432</v>
          </cell>
          <cell r="F255">
            <v>0</v>
          </cell>
          <cell r="G255">
            <v>3835.2289999999998</v>
          </cell>
          <cell r="H255" t="str">
            <v>0</v>
          </cell>
          <cell r="I255" t="str">
            <v>0</v>
          </cell>
          <cell r="J255">
            <v>3835.2289999999998</v>
          </cell>
          <cell r="K255">
            <v>138967.49200000006</v>
          </cell>
          <cell r="N255">
            <v>138967.49200000006</v>
          </cell>
        </row>
        <row r="256">
          <cell r="E256">
            <v>41433</v>
          </cell>
          <cell r="F256">
            <v>0</v>
          </cell>
          <cell r="G256">
            <v>3866.9189999999999</v>
          </cell>
          <cell r="H256" t="str">
            <v>0</v>
          </cell>
          <cell r="I256" t="str">
            <v>0</v>
          </cell>
          <cell r="J256">
            <v>3866.9189999999999</v>
          </cell>
          <cell r="K256">
            <v>135100.57300000006</v>
          </cell>
          <cell r="N256">
            <v>135100.57300000006</v>
          </cell>
        </row>
        <row r="257">
          <cell r="E257">
            <v>41434</v>
          </cell>
          <cell r="F257">
            <v>16766.743999999999</v>
          </cell>
          <cell r="G257">
            <v>4219.027</v>
          </cell>
          <cell r="H257" t="str">
            <v>0</v>
          </cell>
          <cell r="I257" t="str">
            <v>0</v>
          </cell>
          <cell r="J257">
            <v>4219.027</v>
          </cell>
          <cell r="K257">
            <v>147648.29000000007</v>
          </cell>
          <cell r="N257">
            <v>147648.29000000007</v>
          </cell>
        </row>
        <row r="258">
          <cell r="E258">
            <v>41435</v>
          </cell>
          <cell r="F258">
            <v>0</v>
          </cell>
          <cell r="G258">
            <v>4135.1440000000002</v>
          </cell>
          <cell r="H258" t="str">
            <v>0</v>
          </cell>
          <cell r="I258" t="str">
            <v>0</v>
          </cell>
          <cell r="J258">
            <v>4135.1440000000002</v>
          </cell>
          <cell r="K258">
            <v>143513.14600000007</v>
          </cell>
          <cell r="N258">
            <v>143513.14600000007</v>
          </cell>
        </row>
        <row r="259">
          <cell r="E259">
            <v>41436</v>
          </cell>
          <cell r="F259">
            <v>8313.2690000000002</v>
          </cell>
          <cell r="G259">
            <v>4348.9520000000002</v>
          </cell>
          <cell r="H259" t="str">
            <v>0</v>
          </cell>
          <cell r="I259" t="str">
            <v>0</v>
          </cell>
          <cell r="J259">
            <v>4348.9520000000002</v>
          </cell>
          <cell r="K259">
            <v>147477.46300000008</v>
          </cell>
          <cell r="N259">
            <v>147477.46300000008</v>
          </cell>
        </row>
        <row r="260">
          <cell r="E260">
            <v>41437</v>
          </cell>
          <cell r="F260">
            <v>0</v>
          </cell>
          <cell r="G260">
            <v>4304.8429999999998</v>
          </cell>
          <cell r="H260" t="str">
            <v>0</v>
          </cell>
          <cell r="I260" t="str">
            <v>0</v>
          </cell>
          <cell r="J260">
            <v>4304.8429999999998</v>
          </cell>
          <cell r="K260">
            <v>143172.62000000008</v>
          </cell>
          <cell r="N260">
            <v>143172.62000000008</v>
          </cell>
        </row>
        <row r="261">
          <cell r="E261">
            <v>41438</v>
          </cell>
          <cell r="F261">
            <v>0</v>
          </cell>
          <cell r="G261">
            <v>4376.7030000000004</v>
          </cell>
          <cell r="H261" t="str">
            <v>0</v>
          </cell>
          <cell r="I261" t="str">
            <v>0</v>
          </cell>
          <cell r="J261">
            <v>4376.7030000000004</v>
          </cell>
          <cell r="K261">
            <v>138795.91700000007</v>
          </cell>
          <cell r="N261">
            <v>138795.91700000007</v>
          </cell>
        </row>
        <row r="262">
          <cell r="E262">
            <v>41439</v>
          </cell>
          <cell r="F262">
            <v>0</v>
          </cell>
          <cell r="G262">
            <v>2183.415</v>
          </cell>
          <cell r="H262" t="str">
            <v>0</v>
          </cell>
          <cell r="I262" t="str">
            <v>0</v>
          </cell>
          <cell r="J262">
            <v>2183.415</v>
          </cell>
          <cell r="K262">
            <v>136612.50200000007</v>
          </cell>
          <cell r="N262">
            <v>136612.50200000007</v>
          </cell>
        </row>
        <row r="263">
          <cell r="E263">
            <v>41440</v>
          </cell>
          <cell r="F263">
            <v>0</v>
          </cell>
          <cell r="G263">
            <v>3848.7739999999999</v>
          </cell>
          <cell r="H263" t="str">
            <v>0</v>
          </cell>
          <cell r="I263" t="str">
            <v>0</v>
          </cell>
          <cell r="J263">
            <v>3848.7739999999999</v>
          </cell>
          <cell r="K263">
            <v>132763.72800000006</v>
          </cell>
          <cell r="N263">
            <v>132763.72800000006</v>
          </cell>
        </row>
        <row r="264">
          <cell r="E264">
            <v>41441</v>
          </cell>
          <cell r="F264">
            <v>0</v>
          </cell>
          <cell r="G264">
            <v>4249.3230000000003</v>
          </cell>
          <cell r="H264" t="str">
            <v>0</v>
          </cell>
          <cell r="I264" t="str">
            <v>0</v>
          </cell>
          <cell r="J264">
            <v>4249.3230000000003</v>
          </cell>
          <cell r="K264">
            <v>128514.40500000006</v>
          </cell>
          <cell r="N264">
            <v>128514.40500000006</v>
          </cell>
        </row>
        <row r="265">
          <cell r="E265">
            <v>41442</v>
          </cell>
          <cell r="F265">
            <v>7551.6540000000005</v>
          </cell>
          <cell r="G265">
            <v>4267.9189999999999</v>
          </cell>
          <cell r="H265" t="str">
            <v>0</v>
          </cell>
          <cell r="I265" t="str">
            <v>0</v>
          </cell>
          <cell r="J265">
            <v>4267.9189999999999</v>
          </cell>
          <cell r="K265">
            <v>131798.14000000007</v>
          </cell>
          <cell r="N265">
            <v>131798.14000000007</v>
          </cell>
        </row>
        <row r="266">
          <cell r="E266">
            <v>41443</v>
          </cell>
          <cell r="F266">
            <v>0</v>
          </cell>
          <cell r="G266">
            <v>4240.076</v>
          </cell>
          <cell r="H266" t="str">
            <v>0</v>
          </cell>
          <cell r="I266" t="str">
            <v>0</v>
          </cell>
          <cell r="J266">
            <v>4240.076</v>
          </cell>
          <cell r="K266">
            <v>127558.06400000007</v>
          </cell>
          <cell r="N266">
            <v>127558.06400000007</v>
          </cell>
        </row>
        <row r="267">
          <cell r="E267">
            <v>41444</v>
          </cell>
          <cell r="F267">
            <v>0</v>
          </cell>
          <cell r="G267">
            <v>4164.6930000000002</v>
          </cell>
          <cell r="H267" t="str">
            <v>0</v>
          </cell>
          <cell r="I267" t="str">
            <v>0</v>
          </cell>
          <cell r="J267">
            <v>4164.6930000000002</v>
          </cell>
          <cell r="K267">
            <v>127083.03099999999</v>
          </cell>
          <cell r="N267">
            <v>127083.03099999999</v>
          </cell>
        </row>
        <row r="268">
          <cell r="E268">
            <v>41445</v>
          </cell>
          <cell r="F268">
            <v>0</v>
          </cell>
          <cell r="G268">
            <v>4003.5520000000001</v>
          </cell>
          <cell r="H268" t="str">
            <v>0</v>
          </cell>
          <cell r="I268" t="str">
            <v>0</v>
          </cell>
          <cell r="J268">
            <v>4003.5520000000001</v>
          </cell>
          <cell r="K268">
            <v>123079.47899999999</v>
          </cell>
          <cell r="N268">
            <v>123079.47899999999</v>
          </cell>
        </row>
        <row r="269">
          <cell r="E269">
            <v>41446</v>
          </cell>
          <cell r="F269">
            <v>15925.21</v>
          </cell>
          <cell r="G269">
            <v>4423.3590000000004</v>
          </cell>
          <cell r="H269" t="str">
            <v>0</v>
          </cell>
          <cell r="I269" t="str">
            <v>0</v>
          </cell>
          <cell r="J269">
            <v>4423.3590000000004</v>
          </cell>
          <cell r="K269">
            <v>134581.32999999999</v>
          </cell>
          <cell r="N269">
            <v>134581.32999999999</v>
          </cell>
        </row>
        <row r="270">
          <cell r="E270">
            <v>41447</v>
          </cell>
          <cell r="F270">
            <v>0</v>
          </cell>
          <cell r="G270">
            <v>4451.951</v>
          </cell>
          <cell r="H270" t="str">
            <v>0</v>
          </cell>
          <cell r="I270" t="str">
            <v>0</v>
          </cell>
          <cell r="J270">
            <v>4451.951</v>
          </cell>
          <cell r="K270">
            <v>130129.37899999999</v>
          </cell>
          <cell r="N270">
            <v>130129.37899999999</v>
          </cell>
        </row>
        <row r="271">
          <cell r="E271">
            <v>41448</v>
          </cell>
          <cell r="F271">
            <v>0</v>
          </cell>
          <cell r="G271">
            <v>1646.162</v>
          </cell>
          <cell r="H271" t="str">
            <v>0</v>
          </cell>
          <cell r="I271" t="str">
            <v>0</v>
          </cell>
          <cell r="J271">
            <v>1646.162</v>
          </cell>
          <cell r="K271">
            <v>128483.21699999999</v>
          </cell>
          <cell r="N271">
            <v>128483.21699999999</v>
          </cell>
        </row>
        <row r="272">
          <cell r="E272">
            <v>41449</v>
          </cell>
          <cell r="F272">
            <v>8790.643</v>
          </cell>
          <cell r="G272" t="str">
            <v>0</v>
          </cell>
          <cell r="H272" t="str">
            <v>0</v>
          </cell>
          <cell r="I272" t="str">
            <v>0</v>
          </cell>
          <cell r="J272">
            <v>0</v>
          </cell>
          <cell r="K272">
            <v>137273.85999999999</v>
          </cell>
          <cell r="N272">
            <v>137273.85999999999</v>
          </cell>
        </row>
        <row r="273">
          <cell r="E273">
            <v>41450</v>
          </cell>
          <cell r="F273">
            <v>7513.8630000000003</v>
          </cell>
          <cell r="G273" t="str">
            <v>0</v>
          </cell>
          <cell r="H273" t="str">
            <v>0</v>
          </cell>
          <cell r="I273" t="str">
            <v>0</v>
          </cell>
          <cell r="J273">
            <v>0</v>
          </cell>
          <cell r="K273">
            <v>144787.723</v>
          </cell>
          <cell r="N273">
            <v>144787.723</v>
          </cell>
        </row>
        <row r="274">
          <cell r="E274">
            <v>41451</v>
          </cell>
          <cell r="F274">
            <v>0</v>
          </cell>
          <cell r="G274" t="str">
            <v>0</v>
          </cell>
          <cell r="H274" t="str">
            <v>0</v>
          </cell>
          <cell r="I274" t="str">
            <v>0</v>
          </cell>
          <cell r="J274">
            <v>0</v>
          </cell>
          <cell r="K274">
            <v>144787.723</v>
          </cell>
          <cell r="N274">
            <v>144787.723</v>
          </cell>
        </row>
        <row r="275">
          <cell r="E275">
            <v>41452</v>
          </cell>
          <cell r="F275">
            <v>0</v>
          </cell>
          <cell r="G275" t="str">
            <v>0</v>
          </cell>
          <cell r="H275" t="str">
            <v>0</v>
          </cell>
          <cell r="I275" t="str">
            <v>0</v>
          </cell>
          <cell r="J275">
            <v>0</v>
          </cell>
          <cell r="K275">
            <v>144787.723</v>
          </cell>
          <cell r="N275">
            <v>144787.723</v>
          </cell>
        </row>
        <row r="276">
          <cell r="E276">
            <v>41453</v>
          </cell>
          <cell r="F276">
            <v>0</v>
          </cell>
          <cell r="G276" t="str">
            <v>0</v>
          </cell>
          <cell r="H276" t="str">
            <v>0</v>
          </cell>
          <cell r="I276" t="str">
            <v>0</v>
          </cell>
          <cell r="J276">
            <v>0</v>
          </cell>
          <cell r="K276">
            <v>144787.723</v>
          </cell>
          <cell r="N276">
            <v>144787.723</v>
          </cell>
        </row>
        <row r="277">
          <cell r="E277">
            <v>41454</v>
          </cell>
          <cell r="F277">
            <v>0</v>
          </cell>
          <cell r="G277" t="str">
            <v>0</v>
          </cell>
          <cell r="H277" t="str">
            <v>0</v>
          </cell>
          <cell r="I277" t="str">
            <v>0</v>
          </cell>
          <cell r="J277">
            <v>0</v>
          </cell>
          <cell r="K277">
            <v>144787.723</v>
          </cell>
          <cell r="N277">
            <v>144787.723</v>
          </cell>
        </row>
        <row r="278">
          <cell r="E278">
            <v>41455</v>
          </cell>
          <cell r="F278">
            <v>0</v>
          </cell>
          <cell r="G278" t="str">
            <v>0</v>
          </cell>
          <cell r="H278" t="str">
            <v>0</v>
          </cell>
          <cell r="I278" t="str">
            <v>0</v>
          </cell>
          <cell r="J278">
            <v>0</v>
          </cell>
          <cell r="K278">
            <v>144787.723</v>
          </cell>
          <cell r="N278">
            <v>144787.723</v>
          </cell>
        </row>
        <row r="279">
          <cell r="E279">
            <v>41456</v>
          </cell>
          <cell r="G279" t="str">
            <v>0</v>
          </cell>
          <cell r="H279" t="str">
            <v>0</v>
          </cell>
          <cell r="I279" t="str">
            <v>0</v>
          </cell>
          <cell r="J279">
            <v>0</v>
          </cell>
          <cell r="K279">
            <v>144787.723</v>
          </cell>
          <cell r="N279">
            <v>144787.723</v>
          </cell>
        </row>
        <row r="280">
          <cell r="E280">
            <v>41457</v>
          </cell>
          <cell r="G280" t="str">
            <v>0</v>
          </cell>
          <cell r="H280" t="str">
            <v>0</v>
          </cell>
          <cell r="I280" t="str">
            <v>0</v>
          </cell>
          <cell r="J280">
            <v>0</v>
          </cell>
          <cell r="K280">
            <v>144787.723</v>
          </cell>
          <cell r="N280">
            <v>144787.723</v>
          </cell>
        </row>
        <row r="281">
          <cell r="E281">
            <v>41458</v>
          </cell>
          <cell r="G281" t="str">
            <v>0</v>
          </cell>
          <cell r="H281" t="str">
            <v>0</v>
          </cell>
          <cell r="I281" t="str">
            <v>0</v>
          </cell>
          <cell r="J281">
            <v>0</v>
          </cell>
          <cell r="K281">
            <v>144787.723</v>
          </cell>
          <cell r="N281">
            <v>144787.723</v>
          </cell>
        </row>
        <row r="282">
          <cell r="E282">
            <v>41459</v>
          </cell>
          <cell r="F282">
            <v>7544.8209999999999</v>
          </cell>
          <cell r="G282" t="str">
            <v>0</v>
          </cell>
          <cell r="H282" t="str">
            <v>0</v>
          </cell>
          <cell r="I282" t="str">
            <v>0</v>
          </cell>
          <cell r="J282">
            <v>0</v>
          </cell>
          <cell r="K282">
            <v>152332.54399999999</v>
          </cell>
          <cell r="N282">
            <v>152332.54399999999</v>
          </cell>
        </row>
        <row r="283">
          <cell r="E283">
            <v>41460</v>
          </cell>
          <cell r="F283">
            <v>8493.3169999999991</v>
          </cell>
          <cell r="G283" t="str">
            <v>0</v>
          </cell>
          <cell r="H283" t="str">
            <v>0</v>
          </cell>
          <cell r="I283" t="str">
            <v>0</v>
          </cell>
          <cell r="J283">
            <v>0</v>
          </cell>
          <cell r="K283">
            <v>160825.861</v>
          </cell>
          <cell r="N283">
            <v>160825.861</v>
          </cell>
        </row>
        <row r="284">
          <cell r="E284">
            <v>41461</v>
          </cell>
          <cell r="G284" t="str">
            <v>0</v>
          </cell>
          <cell r="H284" t="str">
            <v>0</v>
          </cell>
          <cell r="I284" t="str">
            <v>0</v>
          </cell>
          <cell r="J284">
            <v>0</v>
          </cell>
          <cell r="K284">
            <v>160825.861</v>
          </cell>
          <cell r="N284">
            <v>160825.861</v>
          </cell>
        </row>
        <row r="285">
          <cell r="E285">
            <v>41462</v>
          </cell>
          <cell r="F285">
            <v>7535.7690000000002</v>
          </cell>
          <cell r="G285" t="str">
            <v>0</v>
          </cell>
          <cell r="H285" t="str">
            <v>0</v>
          </cell>
          <cell r="I285" t="str">
            <v>0</v>
          </cell>
          <cell r="J285">
            <v>0</v>
          </cell>
          <cell r="K285">
            <v>168361.63</v>
          </cell>
          <cell r="N285">
            <v>168361.63</v>
          </cell>
        </row>
        <row r="286">
          <cell r="E286">
            <v>41463</v>
          </cell>
          <cell r="F286">
            <v>8492.26</v>
          </cell>
          <cell r="G286" t="str">
            <v>0</v>
          </cell>
          <cell r="H286" t="str">
            <v>0</v>
          </cell>
          <cell r="I286" t="str">
            <v>0</v>
          </cell>
          <cell r="J286">
            <v>0</v>
          </cell>
          <cell r="K286">
            <v>176853.89</v>
          </cell>
          <cell r="N286">
            <v>176853.89</v>
          </cell>
        </row>
        <row r="287">
          <cell r="E287">
            <v>41464</v>
          </cell>
          <cell r="G287" t="str">
            <v>0</v>
          </cell>
          <cell r="H287" t="str">
            <v>0</v>
          </cell>
          <cell r="I287" t="str">
            <v>0</v>
          </cell>
          <cell r="J287">
            <v>0</v>
          </cell>
          <cell r="K287">
            <v>176853.89</v>
          </cell>
          <cell r="N287">
            <v>176853.89</v>
          </cell>
        </row>
        <row r="288">
          <cell r="E288">
            <v>41465</v>
          </cell>
          <cell r="F288">
            <v>7521.1019999999999</v>
          </cell>
          <cell r="G288" t="str">
            <v>0</v>
          </cell>
          <cell r="H288" t="str">
            <v>0</v>
          </cell>
          <cell r="I288" t="str">
            <v>0</v>
          </cell>
          <cell r="J288">
            <v>0</v>
          </cell>
          <cell r="K288">
            <v>184374.99200000003</v>
          </cell>
          <cell r="N288">
            <v>184374.99200000003</v>
          </cell>
        </row>
        <row r="289">
          <cell r="E289">
            <v>41466</v>
          </cell>
          <cell r="F289">
            <v>7421.1949999999997</v>
          </cell>
          <cell r="G289" t="str">
            <v>0</v>
          </cell>
          <cell r="H289" t="str">
            <v>0</v>
          </cell>
          <cell r="I289" t="str">
            <v>0</v>
          </cell>
          <cell r="J289">
            <v>0</v>
          </cell>
          <cell r="K289">
            <v>191796.18700000003</v>
          </cell>
          <cell r="N289">
            <v>191796.18700000003</v>
          </cell>
        </row>
        <row r="290">
          <cell r="E290">
            <v>41467</v>
          </cell>
          <cell r="G290">
            <v>221.77600000000001</v>
          </cell>
          <cell r="H290" t="str">
            <v>0</v>
          </cell>
          <cell r="I290" t="str">
            <v>0</v>
          </cell>
          <cell r="J290">
            <v>221.77600000000001</v>
          </cell>
          <cell r="K290">
            <v>191574.41100000002</v>
          </cell>
          <cell r="N290">
            <v>191574.41100000002</v>
          </cell>
        </row>
        <row r="291">
          <cell r="E291">
            <v>41468</v>
          </cell>
          <cell r="G291">
            <v>365.26499999999999</v>
          </cell>
          <cell r="H291" t="str">
            <v>0</v>
          </cell>
          <cell r="I291" t="str">
            <v>0</v>
          </cell>
          <cell r="J291">
            <v>365.26499999999999</v>
          </cell>
          <cell r="K291">
            <v>191209.14600000001</v>
          </cell>
          <cell r="N291">
            <v>191209.14600000001</v>
          </cell>
        </row>
        <row r="292">
          <cell r="E292">
            <v>41469</v>
          </cell>
          <cell r="F292">
            <v>7499.0929999999998</v>
          </cell>
          <cell r="G292" t="str">
            <v>0</v>
          </cell>
          <cell r="H292" t="str">
            <v>0</v>
          </cell>
          <cell r="I292" t="str">
            <v>0</v>
          </cell>
          <cell r="J292">
            <v>0</v>
          </cell>
          <cell r="K292">
            <v>198708.239</v>
          </cell>
          <cell r="N292">
            <v>198708.239</v>
          </cell>
        </row>
        <row r="293">
          <cell r="E293">
            <v>41470</v>
          </cell>
          <cell r="G293">
            <v>1663.675</v>
          </cell>
          <cell r="H293" t="str">
            <v>0</v>
          </cell>
          <cell r="I293" t="str">
            <v>0</v>
          </cell>
          <cell r="J293">
            <v>1663.675</v>
          </cell>
          <cell r="K293">
            <v>197044.56400000001</v>
          </cell>
          <cell r="N293">
            <v>197044.56400000001</v>
          </cell>
        </row>
        <row r="294">
          <cell r="E294">
            <v>41471</v>
          </cell>
          <cell r="G294">
            <v>3885.4110000000001</v>
          </cell>
          <cell r="H294" t="str">
            <v>0</v>
          </cell>
          <cell r="I294" t="str">
            <v>0</v>
          </cell>
          <cell r="J294">
            <v>3885.4110000000001</v>
          </cell>
          <cell r="K294">
            <v>193159.15300000002</v>
          </cell>
          <cell r="N294">
            <v>193159.15300000002</v>
          </cell>
        </row>
        <row r="295">
          <cell r="E295">
            <v>41472</v>
          </cell>
          <cell r="G295">
            <v>3956.36</v>
          </cell>
          <cell r="H295" t="str">
            <v>0</v>
          </cell>
          <cell r="I295" t="str">
            <v>0</v>
          </cell>
          <cell r="J295">
            <v>3956.36</v>
          </cell>
          <cell r="K295">
            <v>189202.79300000003</v>
          </cell>
          <cell r="N295">
            <v>189202.79300000003</v>
          </cell>
        </row>
        <row r="296">
          <cell r="E296">
            <v>41473</v>
          </cell>
          <cell r="F296">
            <v>7502.8029999999999</v>
          </cell>
          <cell r="G296">
            <v>3307.6750000000002</v>
          </cell>
          <cell r="H296" t="str">
            <v>0</v>
          </cell>
          <cell r="I296" t="str">
            <v>0</v>
          </cell>
          <cell r="J296">
            <v>3307.6750000000002</v>
          </cell>
          <cell r="K296">
            <v>193397.92100000003</v>
          </cell>
          <cell r="N296">
            <v>193397.92100000003</v>
          </cell>
        </row>
        <row r="297">
          <cell r="E297">
            <v>41474</v>
          </cell>
          <cell r="G297">
            <v>444.70699999999999</v>
          </cell>
          <cell r="H297" t="str">
            <v>0</v>
          </cell>
          <cell r="I297" t="str">
            <v>0</v>
          </cell>
          <cell r="J297">
            <v>444.70699999999999</v>
          </cell>
          <cell r="K297">
            <v>192953.21400000004</v>
          </cell>
          <cell r="N297">
            <v>192953.21400000004</v>
          </cell>
        </row>
        <row r="298">
          <cell r="E298">
            <v>41475</v>
          </cell>
          <cell r="F298">
            <v>8089.0150000000003</v>
          </cell>
          <cell r="G298" t="str">
            <v>0</v>
          </cell>
          <cell r="H298" t="str">
            <v>0</v>
          </cell>
          <cell r="I298" t="str">
            <v>0</v>
          </cell>
          <cell r="J298">
            <v>0</v>
          </cell>
          <cell r="K298">
            <v>201042.22900000005</v>
          </cell>
          <cell r="N298">
            <v>201042.22900000005</v>
          </cell>
        </row>
        <row r="299">
          <cell r="E299">
            <v>41476</v>
          </cell>
          <cell r="G299" t="str">
            <v>0</v>
          </cell>
          <cell r="H299" t="str">
            <v>0</v>
          </cell>
          <cell r="I299" t="str">
            <v>0</v>
          </cell>
          <cell r="J299">
            <v>0</v>
          </cell>
          <cell r="K299">
            <v>201042.22900000005</v>
          </cell>
          <cell r="N299">
            <v>201042.22900000005</v>
          </cell>
        </row>
        <row r="300">
          <cell r="E300">
            <v>41477</v>
          </cell>
          <cell r="F300">
            <v>7633.6040000000003</v>
          </cell>
          <cell r="G300" t="str">
            <v>0</v>
          </cell>
          <cell r="H300" t="str">
            <v>0</v>
          </cell>
          <cell r="I300" t="str">
            <v>0</v>
          </cell>
          <cell r="J300">
            <v>0</v>
          </cell>
          <cell r="K300">
            <v>208675.83300000004</v>
          </cell>
          <cell r="N300">
            <v>208675.83300000004</v>
          </cell>
        </row>
        <row r="301">
          <cell r="E301">
            <v>41478</v>
          </cell>
          <cell r="G301" t="str">
            <v>0</v>
          </cell>
          <cell r="H301" t="str">
            <v>0</v>
          </cell>
          <cell r="I301" t="str">
            <v>0</v>
          </cell>
          <cell r="J301">
            <v>0</v>
          </cell>
          <cell r="K301">
            <v>208675.83300000004</v>
          </cell>
          <cell r="N301">
            <v>208675.83300000004</v>
          </cell>
        </row>
        <row r="302">
          <cell r="E302">
            <v>41479</v>
          </cell>
          <cell r="G302">
            <v>2030.2280000000001</v>
          </cell>
          <cell r="H302" t="str">
            <v>0</v>
          </cell>
          <cell r="I302" t="str">
            <v>0</v>
          </cell>
          <cell r="J302">
            <v>2030.2280000000001</v>
          </cell>
          <cell r="K302">
            <v>206645.60500000004</v>
          </cell>
          <cell r="N302">
            <v>206645.60500000004</v>
          </cell>
        </row>
        <row r="303">
          <cell r="E303">
            <v>41480</v>
          </cell>
          <cell r="F303">
            <v>10003.366</v>
          </cell>
          <cell r="G303">
            <v>4307.598</v>
          </cell>
          <cell r="H303" t="str">
            <v>0</v>
          </cell>
          <cell r="I303" t="str">
            <v>0</v>
          </cell>
          <cell r="J303">
            <v>4307.598</v>
          </cell>
          <cell r="K303">
            <v>212341.37300000005</v>
          </cell>
          <cell r="N303">
            <v>212341.37300000005</v>
          </cell>
        </row>
        <row r="304">
          <cell r="E304">
            <v>41481</v>
          </cell>
          <cell r="G304">
            <v>4068.739</v>
          </cell>
          <cell r="H304" t="str">
            <v>0</v>
          </cell>
          <cell r="I304" t="str">
            <v>0</v>
          </cell>
          <cell r="J304">
            <v>4068.739</v>
          </cell>
          <cell r="K304">
            <v>208272.63400000005</v>
          </cell>
          <cell r="N304">
            <v>208272.63400000005</v>
          </cell>
        </row>
        <row r="305">
          <cell r="E305">
            <v>41482</v>
          </cell>
          <cell r="F305">
            <v>7530.5730000000003</v>
          </cell>
          <cell r="G305">
            <v>3997.9479999999999</v>
          </cell>
          <cell r="H305" t="str">
            <v>0</v>
          </cell>
          <cell r="I305" t="str">
            <v>0</v>
          </cell>
          <cell r="J305">
            <v>3997.9479999999999</v>
          </cell>
          <cell r="K305">
            <v>211805.25900000005</v>
          </cell>
          <cell r="N305">
            <v>211805.25900000005</v>
          </cell>
        </row>
        <row r="306">
          <cell r="E306">
            <v>41483</v>
          </cell>
          <cell r="G306">
            <v>4106.3329999999996</v>
          </cell>
          <cell r="H306" t="str">
            <v>0</v>
          </cell>
          <cell r="I306" t="str">
            <v>0</v>
          </cell>
          <cell r="J306">
            <v>4106.3329999999996</v>
          </cell>
          <cell r="K306">
            <v>207698.92600000004</v>
          </cell>
          <cell r="N306">
            <v>207698.92600000004</v>
          </cell>
        </row>
        <row r="307">
          <cell r="E307">
            <v>41484</v>
          </cell>
          <cell r="F307">
            <v>7527.5870000000004</v>
          </cell>
          <cell r="G307">
            <v>4058.5859999999998</v>
          </cell>
          <cell r="H307" t="str">
            <v>0</v>
          </cell>
          <cell r="I307" t="str">
            <v>0</v>
          </cell>
          <cell r="J307">
            <v>4058.5859999999998</v>
          </cell>
          <cell r="K307">
            <v>211167.92700000003</v>
          </cell>
          <cell r="N307">
            <v>211167.92700000003</v>
          </cell>
        </row>
        <row r="308">
          <cell r="E308">
            <v>41485</v>
          </cell>
          <cell r="G308">
            <v>4218.16</v>
          </cell>
          <cell r="H308" t="str">
            <v>0</v>
          </cell>
          <cell r="I308" t="str">
            <v>0</v>
          </cell>
          <cell r="J308">
            <v>4218.16</v>
          </cell>
          <cell r="K308">
            <v>206949.76700000002</v>
          </cell>
          <cell r="N308">
            <v>206949.76700000002</v>
          </cell>
        </row>
        <row r="309">
          <cell r="E309">
            <v>41486</v>
          </cell>
          <cell r="F309">
            <v>6934.7619999999997</v>
          </cell>
          <cell r="G309">
            <v>3296.799</v>
          </cell>
          <cell r="H309" t="str">
            <v>0</v>
          </cell>
          <cell r="I309" t="str">
            <v>0</v>
          </cell>
          <cell r="J309">
            <v>3296.799</v>
          </cell>
          <cell r="K309">
            <v>210587.73</v>
          </cell>
          <cell r="N309">
            <v>210587.73</v>
          </cell>
        </row>
        <row r="310">
          <cell r="E310">
            <v>41487</v>
          </cell>
          <cell r="G310">
            <v>2436.627</v>
          </cell>
          <cell r="H310" t="str">
            <v>0</v>
          </cell>
          <cell r="I310" t="str">
            <v>0</v>
          </cell>
          <cell r="J310">
            <v>2436.627</v>
          </cell>
          <cell r="K310">
            <v>208151.103</v>
          </cell>
          <cell r="N310">
            <v>208151.103</v>
          </cell>
        </row>
        <row r="311">
          <cell r="E311">
            <v>41488</v>
          </cell>
          <cell r="F311">
            <v>0</v>
          </cell>
          <cell r="G311" t="str">
            <v>0</v>
          </cell>
          <cell r="H311" t="str">
            <v>0</v>
          </cell>
          <cell r="I311" t="str">
            <v>0</v>
          </cell>
          <cell r="J311">
            <v>0</v>
          </cell>
          <cell r="K311">
            <v>208151.103</v>
          </cell>
          <cell r="N311">
            <v>208151.103</v>
          </cell>
        </row>
        <row r="312">
          <cell r="E312">
            <v>41489</v>
          </cell>
          <cell r="F312">
            <v>10611.637000000001</v>
          </cell>
          <cell r="G312" t="str">
            <v>0</v>
          </cell>
          <cell r="H312" t="str">
            <v>0</v>
          </cell>
          <cell r="I312" t="str">
            <v>0</v>
          </cell>
          <cell r="J312">
            <v>0</v>
          </cell>
          <cell r="K312">
            <v>218762.74</v>
          </cell>
          <cell r="N312">
            <v>218762.74</v>
          </cell>
        </row>
        <row r="313">
          <cell r="E313">
            <v>41490</v>
          </cell>
          <cell r="F313">
            <v>8342.1119999999992</v>
          </cell>
          <cell r="G313" t="str">
            <v>0</v>
          </cell>
          <cell r="H313" t="str">
            <v>0</v>
          </cell>
          <cell r="I313" t="str">
            <v>0</v>
          </cell>
          <cell r="J313">
            <v>0</v>
          </cell>
          <cell r="K313">
            <v>227104.85199999998</v>
          </cell>
          <cell r="N313">
            <v>227104.85199999998</v>
          </cell>
        </row>
        <row r="314">
          <cell r="E314">
            <v>41491</v>
          </cell>
          <cell r="F314">
            <v>0</v>
          </cell>
          <cell r="G314" t="str">
            <v>0</v>
          </cell>
          <cell r="H314" t="str">
            <v>0</v>
          </cell>
          <cell r="I314" t="str">
            <v>0</v>
          </cell>
          <cell r="J314">
            <v>0</v>
          </cell>
          <cell r="K314">
            <v>227104.85199999998</v>
          </cell>
          <cell r="N314">
            <v>227104.85199999998</v>
          </cell>
        </row>
        <row r="315">
          <cell r="E315">
            <v>41492</v>
          </cell>
          <cell r="F315">
            <v>0</v>
          </cell>
          <cell r="G315" t="str">
            <v>0</v>
          </cell>
          <cell r="H315" t="str">
            <v>0</v>
          </cell>
          <cell r="I315" t="str">
            <v>0</v>
          </cell>
          <cell r="J315">
            <v>0</v>
          </cell>
          <cell r="K315">
            <v>227104.85199999998</v>
          </cell>
          <cell r="N315">
            <v>227104.85199999998</v>
          </cell>
        </row>
        <row r="316">
          <cell r="E316">
            <v>41493</v>
          </cell>
          <cell r="F316">
            <v>0</v>
          </cell>
          <cell r="G316" t="str">
            <v>0</v>
          </cell>
          <cell r="H316" t="str">
            <v>0</v>
          </cell>
          <cell r="I316" t="str">
            <v>0</v>
          </cell>
          <cell r="J316">
            <v>0</v>
          </cell>
          <cell r="K316">
            <v>227104.85199999998</v>
          </cell>
          <cell r="N316">
            <v>227104.85199999998</v>
          </cell>
        </row>
        <row r="317">
          <cell r="E317">
            <v>41494</v>
          </cell>
          <cell r="F317">
            <v>0</v>
          </cell>
          <cell r="G317" t="str">
            <v>0</v>
          </cell>
          <cell r="H317" t="str">
            <v>0</v>
          </cell>
          <cell r="I317" t="str">
            <v>0</v>
          </cell>
          <cell r="J317">
            <v>0</v>
          </cell>
          <cell r="K317">
            <v>227104.85199999998</v>
          </cell>
          <cell r="N317">
            <v>227104.85199999998</v>
          </cell>
        </row>
        <row r="318">
          <cell r="E318">
            <v>41495</v>
          </cell>
          <cell r="F318">
            <v>0</v>
          </cell>
          <cell r="G318" t="str">
            <v>0</v>
          </cell>
          <cell r="H318" t="str">
            <v>0</v>
          </cell>
          <cell r="I318" t="str">
            <v>0</v>
          </cell>
          <cell r="J318">
            <v>0</v>
          </cell>
          <cell r="K318">
            <v>227104.85199999998</v>
          </cell>
          <cell r="N318">
            <v>227104.85199999998</v>
          </cell>
        </row>
        <row r="319">
          <cell r="E319">
            <v>41496</v>
          </cell>
          <cell r="F319">
            <v>0</v>
          </cell>
          <cell r="G319" t="str">
            <v>0</v>
          </cell>
          <cell r="H319" t="str">
            <v>0</v>
          </cell>
          <cell r="I319" t="str">
            <v>0</v>
          </cell>
          <cell r="J319">
            <v>0</v>
          </cell>
          <cell r="K319">
            <v>227104.85199999998</v>
          </cell>
          <cell r="N319">
            <v>227104.85199999998</v>
          </cell>
        </row>
        <row r="320">
          <cell r="E320">
            <v>41497</v>
          </cell>
          <cell r="F320">
            <v>0</v>
          </cell>
          <cell r="G320" t="str">
            <v>0</v>
          </cell>
          <cell r="H320" t="str">
            <v>0</v>
          </cell>
          <cell r="I320" t="str">
            <v>0</v>
          </cell>
          <cell r="J320">
            <v>0</v>
          </cell>
          <cell r="K320">
            <v>227104.85199999998</v>
          </cell>
          <cell r="N320">
            <v>227104.85199999998</v>
          </cell>
        </row>
        <row r="321">
          <cell r="E321">
            <v>41498</v>
          </cell>
          <cell r="F321">
            <v>0</v>
          </cell>
          <cell r="G321" t="str">
            <v>0</v>
          </cell>
          <cell r="H321" t="str">
            <v>0</v>
          </cell>
          <cell r="I321" t="str">
            <v>0</v>
          </cell>
          <cell r="J321">
            <v>0</v>
          </cell>
          <cell r="K321">
            <v>227104.85199999998</v>
          </cell>
          <cell r="N321">
            <v>227104.85199999998</v>
          </cell>
        </row>
        <row r="322">
          <cell r="E322">
            <v>41499</v>
          </cell>
          <cell r="F322">
            <v>0</v>
          </cell>
          <cell r="G322" t="str">
            <v>0</v>
          </cell>
          <cell r="H322" t="str">
            <v>0</v>
          </cell>
          <cell r="I322" t="str">
            <v>0</v>
          </cell>
          <cell r="J322">
            <v>0</v>
          </cell>
          <cell r="K322">
            <v>227104.85199999998</v>
          </cell>
          <cell r="N322">
            <v>227104.85199999998</v>
          </cell>
        </row>
        <row r="323">
          <cell r="E323">
            <v>41500</v>
          </cell>
          <cell r="F323">
            <v>0</v>
          </cell>
          <cell r="G323" t="str">
            <v>0</v>
          </cell>
          <cell r="H323" t="str">
            <v>0</v>
          </cell>
          <cell r="I323" t="str">
            <v>0</v>
          </cell>
          <cell r="J323">
            <v>0</v>
          </cell>
          <cell r="K323">
            <v>227104.85199999998</v>
          </cell>
          <cell r="N323">
            <v>227104.85199999998</v>
          </cell>
        </row>
        <row r="324">
          <cell r="E324">
            <v>41501</v>
          </cell>
          <cell r="F324">
            <v>7595.4579999999996</v>
          </cell>
          <cell r="G324" t="str">
            <v>0</v>
          </cell>
          <cell r="H324" t="str">
            <v>0</v>
          </cell>
          <cell r="I324" t="str">
            <v>0</v>
          </cell>
          <cell r="J324">
            <v>0</v>
          </cell>
          <cell r="K324">
            <v>234700.31</v>
          </cell>
          <cell r="N324">
            <v>234700.31</v>
          </cell>
        </row>
        <row r="325">
          <cell r="E325">
            <v>41502</v>
          </cell>
          <cell r="F325">
            <v>7371.7979999999998</v>
          </cell>
          <cell r="G325" t="str">
            <v>0</v>
          </cell>
          <cell r="H325" t="str">
            <v>0</v>
          </cell>
          <cell r="I325" t="str">
            <v>0</v>
          </cell>
          <cell r="J325">
            <v>0</v>
          </cell>
          <cell r="K325">
            <v>242072.10800000001</v>
          </cell>
          <cell r="N325">
            <v>242072.10800000001</v>
          </cell>
        </row>
        <row r="326">
          <cell r="E326">
            <v>41503</v>
          </cell>
          <cell r="F326">
            <v>7148.0349999999999</v>
          </cell>
          <cell r="G326" t="str">
            <v>0</v>
          </cell>
          <cell r="H326" t="str">
            <v>0</v>
          </cell>
          <cell r="I326" t="str">
            <v>0</v>
          </cell>
          <cell r="J326">
            <v>0</v>
          </cell>
          <cell r="K326">
            <v>249220.14300000001</v>
          </cell>
          <cell r="N326">
            <v>249220.14300000001</v>
          </cell>
        </row>
        <row r="327">
          <cell r="E327">
            <v>41504</v>
          </cell>
          <cell r="F327">
            <v>7516.8509999999997</v>
          </cell>
          <cell r="G327" t="str">
            <v>0</v>
          </cell>
          <cell r="H327" t="str">
            <v>0</v>
          </cell>
          <cell r="I327" t="str">
            <v>0</v>
          </cell>
          <cell r="J327">
            <v>0</v>
          </cell>
          <cell r="K327">
            <v>256736.99400000001</v>
          </cell>
          <cell r="N327">
            <v>256736.99400000001</v>
          </cell>
        </row>
        <row r="328">
          <cell r="E328">
            <v>41505</v>
          </cell>
          <cell r="F328">
            <v>0</v>
          </cell>
          <cell r="G328">
            <v>2378.5230000000001</v>
          </cell>
          <cell r="H328" t="str">
            <v>0</v>
          </cell>
          <cell r="I328" t="str">
            <v>0</v>
          </cell>
          <cell r="J328">
            <v>2378.5230000000001</v>
          </cell>
          <cell r="K328">
            <v>254358.47100000002</v>
          </cell>
          <cell r="N328">
            <v>254358.47100000002</v>
          </cell>
        </row>
        <row r="329">
          <cell r="E329">
            <v>41506</v>
          </cell>
          <cell r="F329">
            <v>7518.3149999999996</v>
          </cell>
          <cell r="G329">
            <v>4180.732</v>
          </cell>
          <cell r="H329" t="str">
            <v>0</v>
          </cell>
          <cell r="I329" t="str">
            <v>0</v>
          </cell>
          <cell r="J329">
            <v>4180.732</v>
          </cell>
          <cell r="K329">
            <v>257696.05400000003</v>
          </cell>
          <cell r="N329">
            <v>257696.05400000003</v>
          </cell>
        </row>
        <row r="330">
          <cell r="E330">
            <v>41507</v>
          </cell>
          <cell r="F330">
            <v>0</v>
          </cell>
          <cell r="G330">
            <v>3652.9029999999998</v>
          </cell>
          <cell r="H330" t="str">
            <v>0</v>
          </cell>
          <cell r="I330" t="str">
            <v>0</v>
          </cell>
          <cell r="J330">
            <v>3652.9029999999998</v>
          </cell>
          <cell r="K330">
            <v>254043.15100000004</v>
          </cell>
          <cell r="N330">
            <v>254043.15100000004</v>
          </cell>
        </row>
        <row r="331">
          <cell r="E331">
            <v>41508</v>
          </cell>
          <cell r="F331">
            <v>8912.4269999999997</v>
          </cell>
          <cell r="G331">
            <v>3650.5729999999999</v>
          </cell>
          <cell r="H331" t="str">
            <v>0</v>
          </cell>
          <cell r="I331" t="str">
            <v>0</v>
          </cell>
          <cell r="J331">
            <v>3650.5729999999999</v>
          </cell>
          <cell r="K331">
            <v>259305.00500000003</v>
          </cell>
          <cell r="N331">
            <v>259305.00500000003</v>
          </cell>
        </row>
        <row r="332">
          <cell r="E332">
            <v>41509</v>
          </cell>
          <cell r="F332">
            <v>0</v>
          </cell>
          <cell r="G332">
            <v>3650.0239999999999</v>
          </cell>
          <cell r="H332" t="str">
            <v>0</v>
          </cell>
          <cell r="I332" t="str">
            <v>0</v>
          </cell>
          <cell r="J332">
            <v>3650.0239999999999</v>
          </cell>
          <cell r="K332">
            <v>255654.98100000003</v>
          </cell>
          <cell r="N332">
            <v>255654.98100000003</v>
          </cell>
        </row>
        <row r="333">
          <cell r="E333">
            <v>41510</v>
          </cell>
          <cell r="F333">
            <v>0</v>
          </cell>
          <cell r="G333">
            <v>3384.9450000000002</v>
          </cell>
          <cell r="H333" t="str">
            <v>0</v>
          </cell>
          <cell r="I333" t="str">
            <v>0</v>
          </cell>
          <cell r="J333">
            <v>3384.9450000000002</v>
          </cell>
          <cell r="K333">
            <v>252270.03600000002</v>
          </cell>
          <cell r="N333">
            <v>252270.03600000002</v>
          </cell>
        </row>
        <row r="334">
          <cell r="E334">
            <v>41511</v>
          </cell>
          <cell r="F334">
            <v>9909.7369999999992</v>
          </cell>
          <cell r="G334">
            <v>3874.1559999999999</v>
          </cell>
          <cell r="H334" t="str">
            <v>0</v>
          </cell>
          <cell r="I334" t="str">
            <v>0</v>
          </cell>
          <cell r="J334">
            <v>3874.1559999999999</v>
          </cell>
          <cell r="K334">
            <v>258305.61700000006</v>
          </cell>
          <cell r="N334">
            <v>258305.61700000006</v>
          </cell>
        </row>
        <row r="335">
          <cell r="E335">
            <v>41512</v>
          </cell>
          <cell r="F335">
            <v>0</v>
          </cell>
          <cell r="G335">
            <v>3448.1210000000001</v>
          </cell>
          <cell r="H335" t="str">
            <v>0</v>
          </cell>
          <cell r="I335" t="str">
            <v>0</v>
          </cell>
          <cell r="J335">
            <v>3448.1210000000001</v>
          </cell>
          <cell r="K335">
            <v>254857.49600000004</v>
          </cell>
          <cell r="N335">
            <v>254857.49600000004</v>
          </cell>
        </row>
        <row r="336">
          <cell r="E336">
            <v>41513</v>
          </cell>
          <cell r="F336">
            <v>0</v>
          </cell>
          <cell r="G336">
            <v>3727.3049999999998</v>
          </cell>
          <cell r="H336" t="str">
            <v>0</v>
          </cell>
          <cell r="I336" t="str">
            <v>0</v>
          </cell>
          <cell r="J336">
            <v>3727.3049999999998</v>
          </cell>
          <cell r="K336">
            <v>251130.19100000005</v>
          </cell>
          <cell r="N336">
            <v>251130.19100000005</v>
          </cell>
        </row>
        <row r="337">
          <cell r="E337">
            <v>41514</v>
          </cell>
          <cell r="F337">
            <v>0</v>
          </cell>
          <cell r="G337">
            <v>3965.0529999999999</v>
          </cell>
          <cell r="H337" t="str">
            <v>0</v>
          </cell>
          <cell r="I337" t="str">
            <v>0</v>
          </cell>
          <cell r="J337">
            <v>3965.0529999999999</v>
          </cell>
          <cell r="K337">
            <v>247165.13800000004</v>
          </cell>
          <cell r="N337">
            <v>247165.13800000004</v>
          </cell>
        </row>
        <row r="338">
          <cell r="E338">
            <v>41515</v>
          </cell>
          <cell r="F338">
            <v>8273.23</v>
          </cell>
          <cell r="G338">
            <v>4079.2370000000001</v>
          </cell>
          <cell r="H338" t="str">
            <v>0</v>
          </cell>
          <cell r="I338" t="str">
            <v>0</v>
          </cell>
          <cell r="J338">
            <v>4079.2370000000001</v>
          </cell>
          <cell r="K338">
            <v>251359.13100000005</v>
          </cell>
          <cell r="N338">
            <v>251359.13100000005</v>
          </cell>
        </row>
        <row r="339">
          <cell r="E339">
            <v>41516</v>
          </cell>
          <cell r="F339">
            <v>0</v>
          </cell>
          <cell r="G339">
            <v>4076.2339999999999</v>
          </cell>
          <cell r="H339" t="str">
            <v>0</v>
          </cell>
          <cell r="I339" t="str">
            <v>0</v>
          </cell>
          <cell r="J339">
            <v>4076.2339999999999</v>
          </cell>
          <cell r="K339">
            <v>247282.89700000006</v>
          </cell>
          <cell r="N339">
            <v>247282.89700000006</v>
          </cell>
        </row>
        <row r="340">
          <cell r="E340">
            <v>41517</v>
          </cell>
          <cell r="F340">
            <v>8254.9429999999993</v>
          </cell>
          <cell r="G340">
            <v>4141.7960000000003</v>
          </cell>
          <cell r="H340" t="str">
            <v>0</v>
          </cell>
          <cell r="I340" t="str">
            <v>0</v>
          </cell>
          <cell r="J340">
            <v>4141.7960000000003</v>
          </cell>
          <cell r="K340">
            <v>251396.04400000005</v>
          </cell>
          <cell r="N340">
            <v>251396.04400000005</v>
          </cell>
        </row>
        <row r="341">
          <cell r="E341">
            <v>41518</v>
          </cell>
          <cell r="F341">
            <v>0</v>
          </cell>
          <cell r="G341">
            <v>3996.1849999999999</v>
          </cell>
          <cell r="H341" t="str">
            <v>0</v>
          </cell>
          <cell r="I341" t="str">
            <v>0</v>
          </cell>
          <cell r="J341">
            <v>3996.1849999999999</v>
          </cell>
          <cell r="K341">
            <v>247399.85900000005</v>
          </cell>
          <cell r="N341">
            <v>247399.85900000005</v>
          </cell>
        </row>
        <row r="342">
          <cell r="E342">
            <v>41519</v>
          </cell>
          <cell r="F342">
            <v>8070.9279999999999</v>
          </cell>
          <cell r="G342">
            <v>4218.0510000000004</v>
          </cell>
          <cell r="H342" t="str">
            <v>0</v>
          </cell>
          <cell r="I342" t="str">
            <v>0</v>
          </cell>
          <cell r="J342">
            <v>4218.0510000000004</v>
          </cell>
          <cell r="K342">
            <v>251252.73600000006</v>
          </cell>
          <cell r="N342">
            <v>251252.73600000006</v>
          </cell>
        </row>
        <row r="343">
          <cell r="E343">
            <v>41520</v>
          </cell>
          <cell r="F343">
            <v>0</v>
          </cell>
          <cell r="G343">
            <v>3927.0349999999999</v>
          </cell>
          <cell r="H343" t="str">
            <v>0</v>
          </cell>
          <cell r="I343" t="str">
            <v>0</v>
          </cell>
          <cell r="J343">
            <v>3927.0349999999999</v>
          </cell>
          <cell r="K343">
            <v>247325.70100000006</v>
          </cell>
          <cell r="N343">
            <v>247325.70100000006</v>
          </cell>
        </row>
        <row r="344">
          <cell r="E344">
            <v>41521</v>
          </cell>
          <cell r="F344">
            <v>0</v>
          </cell>
          <cell r="G344">
            <v>4058.415</v>
          </cell>
          <cell r="H344" t="str">
            <v>0</v>
          </cell>
          <cell r="I344" t="str">
            <v>0</v>
          </cell>
          <cell r="J344">
            <v>4058.415</v>
          </cell>
          <cell r="K344">
            <v>243267.28600000005</v>
          </cell>
        </row>
        <row r="345">
          <cell r="E345">
            <v>41522</v>
          </cell>
          <cell r="F345">
            <v>7511.058</v>
          </cell>
          <cell r="G345">
            <v>3885.547</v>
          </cell>
          <cell r="H345" t="str">
            <v>0</v>
          </cell>
          <cell r="I345" t="str">
            <v>0</v>
          </cell>
          <cell r="J345">
            <v>3885.547</v>
          </cell>
          <cell r="K345">
            <v>246892.79700000005</v>
          </cell>
          <cell r="N345">
            <v>246892.79700000005</v>
          </cell>
        </row>
        <row r="346">
          <cell r="E346">
            <v>41523</v>
          </cell>
          <cell r="F346">
            <v>7514.1549999999997</v>
          </cell>
          <cell r="G346">
            <v>3979.2779999999998</v>
          </cell>
          <cell r="H346" t="str">
            <v>0</v>
          </cell>
          <cell r="I346" t="str">
            <v>0</v>
          </cell>
          <cell r="J346">
            <v>3979.2779999999998</v>
          </cell>
          <cell r="K346">
            <v>250427.67400000006</v>
          </cell>
          <cell r="N346">
            <v>250427.67400000006</v>
          </cell>
        </row>
        <row r="347">
          <cell r="E347">
            <v>41524</v>
          </cell>
          <cell r="F347">
            <v>0</v>
          </cell>
          <cell r="G347">
            <v>4054.491</v>
          </cell>
          <cell r="H347" t="str">
            <v>0</v>
          </cell>
          <cell r="I347" t="str">
            <v>0</v>
          </cell>
          <cell r="J347">
            <v>4054.491</v>
          </cell>
          <cell r="K347">
            <v>246373.18300000005</v>
          </cell>
          <cell r="N347">
            <v>246373.18300000005</v>
          </cell>
        </row>
        <row r="348">
          <cell r="E348">
            <v>41525</v>
          </cell>
          <cell r="F348">
            <v>7502.4309999999996</v>
          </cell>
          <cell r="G348">
            <v>4021.3679999999999</v>
          </cell>
          <cell r="H348" t="str">
            <v>0</v>
          </cell>
          <cell r="I348" t="str">
            <v>0</v>
          </cell>
          <cell r="J348">
            <v>4021.3679999999999</v>
          </cell>
          <cell r="K348">
            <v>249854.24600000007</v>
          </cell>
          <cell r="N348">
            <v>249854.24600000007</v>
          </cell>
        </row>
        <row r="349">
          <cell r="E349">
            <v>41526</v>
          </cell>
          <cell r="F349">
            <v>7516.5029999999997</v>
          </cell>
          <cell r="G349">
            <v>3920.1379999999999</v>
          </cell>
          <cell r="H349" t="str">
            <v>0</v>
          </cell>
          <cell r="I349" t="str">
            <v>0</v>
          </cell>
          <cell r="J349">
            <v>3920.1379999999999</v>
          </cell>
          <cell r="K349">
            <v>253450.61100000006</v>
          </cell>
        </row>
        <row r="350">
          <cell r="E350">
            <v>41527</v>
          </cell>
          <cell r="F350">
            <v>0</v>
          </cell>
          <cell r="G350">
            <v>3917.48</v>
          </cell>
          <cell r="H350" t="str">
            <v>0</v>
          </cell>
          <cell r="I350" t="str">
            <v>0</v>
          </cell>
          <cell r="J350">
            <v>3917.48</v>
          </cell>
          <cell r="K350">
            <v>249533.13100000005</v>
          </cell>
          <cell r="N350">
            <v>249533.13100000005</v>
          </cell>
        </row>
        <row r="351">
          <cell r="E351">
            <v>41528</v>
          </cell>
          <cell r="F351">
            <v>7191.4049999999997</v>
          </cell>
          <cell r="G351">
            <v>3735.9349999999999</v>
          </cell>
          <cell r="H351" t="str">
            <v>0</v>
          </cell>
          <cell r="I351" t="str">
            <v>0</v>
          </cell>
          <cell r="J351">
            <v>3735.9349999999999</v>
          </cell>
          <cell r="K351">
            <v>252988.60100000005</v>
          </cell>
          <cell r="N351">
            <v>252988.60100000005</v>
          </cell>
        </row>
        <row r="352">
          <cell r="E352">
            <v>41529</v>
          </cell>
          <cell r="F352">
            <v>0</v>
          </cell>
          <cell r="G352">
            <v>3495.7829999999999</v>
          </cell>
          <cell r="H352" t="str">
            <v>0</v>
          </cell>
          <cell r="I352" t="str">
            <v>0</v>
          </cell>
          <cell r="J352">
            <v>3495.7829999999999</v>
          </cell>
          <cell r="K352">
            <v>249492.81800000006</v>
          </cell>
        </row>
        <row r="353">
          <cell r="E353">
            <v>41530</v>
          </cell>
          <cell r="F353">
            <v>0</v>
          </cell>
          <cell r="G353">
            <v>3988.049</v>
          </cell>
          <cell r="H353" t="str">
            <v>0</v>
          </cell>
          <cell r="I353" t="str">
            <v>0</v>
          </cell>
          <cell r="J353">
            <v>3988.049</v>
          </cell>
          <cell r="K353">
            <v>245504.76900000006</v>
          </cell>
          <cell r="N353">
            <v>245504.76900000006</v>
          </cell>
        </row>
        <row r="354">
          <cell r="E354">
            <v>41531</v>
          </cell>
          <cell r="F354">
            <v>0</v>
          </cell>
          <cell r="G354">
            <v>3592.59</v>
          </cell>
          <cell r="H354" t="str">
            <v>0</v>
          </cell>
          <cell r="I354" t="str">
            <v>0</v>
          </cell>
          <cell r="J354">
            <v>3592.59</v>
          </cell>
          <cell r="K354">
            <v>241912.17900000006</v>
          </cell>
          <cell r="N354">
            <v>241912.17900000006</v>
          </cell>
        </row>
        <row r="355">
          <cell r="E355">
            <v>41532</v>
          </cell>
          <cell r="F355">
            <v>0</v>
          </cell>
          <cell r="G355">
            <v>3214.2420000000002</v>
          </cell>
          <cell r="H355" t="str">
            <v>0</v>
          </cell>
          <cell r="I355" t="str">
            <v>0</v>
          </cell>
          <cell r="J355">
            <v>3214.2420000000002</v>
          </cell>
          <cell r="K355">
            <v>238697.93700000006</v>
          </cell>
        </row>
        <row r="356">
          <cell r="E356">
            <v>41533</v>
          </cell>
          <cell r="F356">
            <v>0</v>
          </cell>
          <cell r="G356">
            <v>3370.4079999999999</v>
          </cell>
          <cell r="H356" t="str">
            <v>0</v>
          </cell>
          <cell r="I356" t="str">
            <v>0</v>
          </cell>
          <cell r="J356">
            <v>3370.4079999999999</v>
          </cell>
          <cell r="K356">
            <v>235327.52900000007</v>
          </cell>
          <cell r="N356">
            <v>235327.52900000007</v>
          </cell>
        </row>
        <row r="357">
          <cell r="E357">
            <v>41534</v>
          </cell>
          <cell r="F357">
            <v>0</v>
          </cell>
          <cell r="G357">
            <v>3100.8180000000002</v>
          </cell>
          <cell r="H357" t="str">
            <v>0</v>
          </cell>
          <cell r="I357" t="str">
            <v>0</v>
          </cell>
          <cell r="J357">
            <v>3100.8180000000002</v>
          </cell>
          <cell r="K357">
            <v>232226.71100000007</v>
          </cell>
          <cell r="N357">
            <v>232226.71100000007</v>
          </cell>
        </row>
        <row r="358">
          <cell r="E358">
            <v>41535</v>
          </cell>
          <cell r="F358">
            <v>0</v>
          </cell>
          <cell r="G358">
            <v>1251.895</v>
          </cell>
          <cell r="H358" t="str">
            <v>0</v>
          </cell>
          <cell r="I358" t="str">
            <v>0</v>
          </cell>
          <cell r="J358">
            <v>1251.895</v>
          </cell>
          <cell r="K358">
            <v>230974.81600000008</v>
          </cell>
          <cell r="N358">
            <v>230974.81600000008</v>
          </cell>
        </row>
        <row r="359">
          <cell r="E359">
            <v>41536</v>
          </cell>
          <cell r="F359">
            <v>7626.0010000000002</v>
          </cell>
          <cell r="G359">
            <v>2207.4720000000002</v>
          </cell>
          <cell r="H359" t="str">
            <v>0</v>
          </cell>
          <cell r="I359" t="str">
            <v>0</v>
          </cell>
          <cell r="J359">
            <v>2207.4720000000002</v>
          </cell>
          <cell r="K359">
            <v>236393.34500000006</v>
          </cell>
          <cell r="N359">
            <v>236393.34500000006</v>
          </cell>
        </row>
        <row r="360">
          <cell r="E360">
            <v>41537</v>
          </cell>
          <cell r="F360">
            <v>0</v>
          </cell>
          <cell r="G360">
            <v>3536.913</v>
          </cell>
          <cell r="H360" t="str">
            <v>0</v>
          </cell>
          <cell r="I360" t="str">
            <v>0</v>
          </cell>
          <cell r="J360">
            <v>3536.913</v>
          </cell>
          <cell r="K360">
            <v>232856.43200000006</v>
          </cell>
          <cell r="N360">
            <v>232856.43200000006</v>
          </cell>
        </row>
        <row r="361">
          <cell r="E361">
            <v>41538</v>
          </cell>
          <cell r="F361">
            <v>0</v>
          </cell>
          <cell r="G361">
            <v>3909.7719999999999</v>
          </cell>
          <cell r="H361" t="str">
            <v>0</v>
          </cell>
          <cell r="I361" t="str">
            <v>0</v>
          </cell>
          <cell r="J361">
            <v>3909.7719999999999</v>
          </cell>
          <cell r="K361">
            <v>228946.66000000006</v>
          </cell>
          <cell r="N361">
            <v>228946.66000000006</v>
          </cell>
        </row>
        <row r="362">
          <cell r="E362">
            <v>41539</v>
          </cell>
          <cell r="F362">
            <v>7717.723</v>
          </cell>
          <cell r="G362">
            <v>3655.8829999999998</v>
          </cell>
          <cell r="H362" t="str">
            <v>0</v>
          </cell>
          <cell r="I362" t="str">
            <v>0</v>
          </cell>
          <cell r="J362">
            <v>3655.8829999999998</v>
          </cell>
          <cell r="K362">
            <v>233008.50000000006</v>
          </cell>
          <cell r="N362">
            <v>233008.50000000006</v>
          </cell>
        </row>
        <row r="363">
          <cell r="E363">
            <v>41540</v>
          </cell>
          <cell r="F363">
            <v>0</v>
          </cell>
          <cell r="G363">
            <v>3550.8670000000002</v>
          </cell>
          <cell r="H363" t="str">
            <v>0</v>
          </cell>
          <cell r="I363" t="str">
            <v>0</v>
          </cell>
          <cell r="J363">
            <v>3550.8670000000002</v>
          </cell>
          <cell r="K363">
            <v>229457.63300000006</v>
          </cell>
          <cell r="N363">
            <v>229457.63300000006</v>
          </cell>
        </row>
        <row r="364">
          <cell r="E364">
            <v>41541</v>
          </cell>
          <cell r="F364">
            <v>7519.9520000000002</v>
          </cell>
          <cell r="G364">
            <v>3790.0909999999999</v>
          </cell>
          <cell r="H364" t="str">
            <v>0</v>
          </cell>
          <cell r="I364" t="str">
            <v>0</v>
          </cell>
          <cell r="J364">
            <v>3790.0909999999999</v>
          </cell>
          <cell r="K364">
            <v>233187.49400000006</v>
          </cell>
          <cell r="N364">
            <v>233187.49400000006</v>
          </cell>
        </row>
        <row r="365">
          <cell r="E365">
            <v>41542</v>
          </cell>
          <cell r="F365">
            <v>0</v>
          </cell>
          <cell r="G365">
            <v>3315.4789999999998</v>
          </cell>
          <cell r="H365" t="str">
            <v>0</v>
          </cell>
          <cell r="I365" t="str">
            <v>0</v>
          </cell>
          <cell r="J365">
            <v>3315.4789999999998</v>
          </cell>
          <cell r="K365">
            <v>229872.01500000007</v>
          </cell>
          <cell r="N365">
            <v>229872.01500000007</v>
          </cell>
        </row>
        <row r="366">
          <cell r="E366">
            <v>41543</v>
          </cell>
          <cell r="F366">
            <v>7644.0159999999996</v>
          </cell>
          <cell r="G366">
            <v>3719.86</v>
          </cell>
          <cell r="H366" t="str">
            <v>0</v>
          </cell>
          <cell r="I366" t="str">
            <v>0</v>
          </cell>
          <cell r="J366">
            <v>3719.86</v>
          </cell>
          <cell r="K366">
            <v>233796.17100000009</v>
          </cell>
          <cell r="N366">
            <v>233796.17100000009</v>
          </cell>
        </row>
        <row r="367">
          <cell r="E367">
            <v>41544</v>
          </cell>
          <cell r="F367">
            <v>0</v>
          </cell>
          <cell r="G367">
            <v>3750.6190000000001</v>
          </cell>
          <cell r="H367" t="str">
            <v>0</v>
          </cell>
          <cell r="I367" t="str">
            <v>0</v>
          </cell>
          <cell r="J367">
            <v>3750.6190000000001</v>
          </cell>
          <cell r="K367">
            <v>230045.55200000008</v>
          </cell>
          <cell r="N367">
            <v>230045.55200000008</v>
          </cell>
        </row>
        <row r="368">
          <cell r="E368">
            <v>41545</v>
          </cell>
          <cell r="F368">
            <v>0</v>
          </cell>
          <cell r="G368">
            <v>3737.5590000000002</v>
          </cell>
          <cell r="H368" t="str">
            <v>0</v>
          </cell>
          <cell r="I368" t="str">
            <v>0</v>
          </cell>
          <cell r="J368">
            <v>3737.5590000000002</v>
          </cell>
          <cell r="K368">
            <v>226307.99300000007</v>
          </cell>
          <cell r="N368">
            <v>226307.99300000007</v>
          </cell>
        </row>
        <row r="369">
          <cell r="E369">
            <v>41546</v>
          </cell>
          <cell r="F369">
            <v>7574.6760000000004</v>
          </cell>
          <cell r="G369">
            <v>3210.5390000000002</v>
          </cell>
          <cell r="H369" t="str">
            <v>0</v>
          </cell>
          <cell r="I369" t="str">
            <v>0</v>
          </cell>
          <cell r="J369">
            <v>3210.5390000000002</v>
          </cell>
          <cell r="K369">
            <v>230672.13000000009</v>
          </cell>
          <cell r="N369">
            <v>230672.13000000009</v>
          </cell>
        </row>
        <row r="370">
          <cell r="E370">
            <v>41547</v>
          </cell>
          <cell r="F370">
            <v>7100.44</v>
          </cell>
          <cell r="G370">
            <v>3159.9540000000002</v>
          </cell>
          <cell r="H370" t="str">
            <v>0</v>
          </cell>
          <cell r="I370" t="str">
            <v>0</v>
          </cell>
          <cell r="J370">
            <v>3159.9540000000002</v>
          </cell>
          <cell r="K370">
            <v>234612.6160000001</v>
          </cell>
          <cell r="N370">
            <v>234612.6160000001</v>
          </cell>
        </row>
        <row r="371">
          <cell r="E371">
            <v>41548</v>
          </cell>
          <cell r="G371">
            <v>3230.8249999999998</v>
          </cell>
          <cell r="J371">
            <v>3230.8249999999998</v>
          </cell>
          <cell r="K371">
            <v>231381.79100000008</v>
          </cell>
          <cell r="N371">
            <v>231381.79100000008</v>
          </cell>
        </row>
        <row r="372">
          <cell r="E372">
            <v>41549</v>
          </cell>
          <cell r="F372">
            <v>7592.527</v>
          </cell>
          <cell r="G372">
            <v>3690.2139999999999</v>
          </cell>
          <cell r="J372">
            <v>3690.2139999999999</v>
          </cell>
          <cell r="K372">
            <v>212358.8</v>
          </cell>
          <cell r="N372">
            <v>212358.8</v>
          </cell>
        </row>
        <row r="373">
          <cell r="E373">
            <v>41550</v>
          </cell>
          <cell r="G373">
            <v>3594.7669999999998</v>
          </cell>
          <cell r="H373">
            <v>157.15</v>
          </cell>
          <cell r="J373">
            <v>3751.9169999999999</v>
          </cell>
          <cell r="K373">
            <v>216199.41</v>
          </cell>
          <cell r="N373">
            <v>232822.05900000001</v>
          </cell>
        </row>
        <row r="374">
          <cell r="E374">
            <v>41551</v>
          </cell>
          <cell r="F374">
            <v>8945.31</v>
          </cell>
          <cell r="G374">
            <v>2966.7350000000001</v>
          </cell>
          <cell r="H374">
            <v>1169.104</v>
          </cell>
          <cell r="J374">
            <v>4135.8389999999999</v>
          </cell>
          <cell r="K374">
            <v>221008.88099999999</v>
          </cell>
          <cell r="N374">
            <v>237631.53</v>
          </cell>
        </row>
        <row r="375">
          <cell r="E375">
            <v>41552</v>
          </cell>
          <cell r="G375">
            <v>434.87900000000002</v>
          </cell>
          <cell r="H375">
            <v>2691.0450000000001</v>
          </cell>
          <cell r="J375">
            <v>3125.924</v>
          </cell>
          <cell r="K375">
            <v>217882.95699999999</v>
          </cell>
          <cell r="N375">
            <v>234505.606</v>
          </cell>
        </row>
        <row r="376">
          <cell r="E376">
            <v>41553</v>
          </cell>
          <cell r="H376">
            <v>3642.7840000000001</v>
          </cell>
          <cell r="J376">
            <v>3642.7840000000001</v>
          </cell>
          <cell r="K376">
            <v>214240.17299999998</v>
          </cell>
          <cell r="N376">
            <v>230862.82199999999</v>
          </cell>
        </row>
        <row r="377">
          <cell r="E377">
            <v>41554</v>
          </cell>
          <cell r="F377">
            <v>7546.1009999999997</v>
          </cell>
          <cell r="H377">
            <v>3630.9389999999999</v>
          </cell>
          <cell r="J377">
            <v>3630.9389999999999</v>
          </cell>
          <cell r="K377">
            <v>218155.33499999996</v>
          </cell>
          <cell r="N377">
            <v>234777.98399999997</v>
          </cell>
        </row>
        <row r="378">
          <cell r="E378">
            <v>41555</v>
          </cell>
          <cell r="H378">
            <v>3639.7640000000001</v>
          </cell>
          <cell r="J378">
            <v>3639.7640000000001</v>
          </cell>
          <cell r="K378">
            <v>214515.57099999997</v>
          </cell>
          <cell r="N378">
            <v>231138.21999999997</v>
          </cell>
        </row>
        <row r="379">
          <cell r="E379">
            <v>41556</v>
          </cell>
          <cell r="H379">
            <v>1351.038</v>
          </cell>
          <cell r="J379">
            <v>1351.038</v>
          </cell>
          <cell r="K379">
            <v>213164.53299999997</v>
          </cell>
          <cell r="N379">
            <v>229787.18199999997</v>
          </cell>
        </row>
        <row r="380">
          <cell r="E380">
            <v>41557</v>
          </cell>
          <cell r="J380">
            <v>0</v>
          </cell>
          <cell r="K380">
            <v>213164.53299999997</v>
          </cell>
          <cell r="N380">
            <v>229787.18199999997</v>
          </cell>
        </row>
        <row r="381">
          <cell r="E381">
            <v>41558</v>
          </cell>
          <cell r="J381">
            <v>0</v>
          </cell>
          <cell r="K381">
            <v>213164.53299999997</v>
          </cell>
          <cell r="N381">
            <v>229787.18199999997</v>
          </cell>
        </row>
        <row r="382">
          <cell r="E382">
            <v>41559</v>
          </cell>
          <cell r="H382">
            <v>1822.961</v>
          </cell>
          <cell r="J382">
            <v>1822.961</v>
          </cell>
          <cell r="K382">
            <v>211341.57199999996</v>
          </cell>
          <cell r="N382">
            <v>227964.22099999996</v>
          </cell>
        </row>
        <row r="383">
          <cell r="E383">
            <v>41560</v>
          </cell>
          <cell r="H383">
            <v>1527.9179999999999</v>
          </cell>
          <cell r="J383">
            <v>1527.9179999999999</v>
          </cell>
          <cell r="K383">
            <v>209813.65399999995</v>
          </cell>
          <cell r="N383">
            <v>226436.30299999996</v>
          </cell>
        </row>
        <row r="384">
          <cell r="E384">
            <v>41561</v>
          </cell>
          <cell r="F384">
            <v>7522.3580000000002</v>
          </cell>
          <cell r="H384">
            <v>3124.355</v>
          </cell>
          <cell r="J384">
            <v>3124.355</v>
          </cell>
          <cell r="K384">
            <v>214211.65699999995</v>
          </cell>
          <cell r="N384">
            <v>230834.30599999995</v>
          </cell>
        </row>
        <row r="385">
          <cell r="E385">
            <v>41562</v>
          </cell>
          <cell r="H385">
            <v>3350.194</v>
          </cell>
          <cell r="J385">
            <v>3350.194</v>
          </cell>
          <cell r="K385">
            <v>210861.46299999996</v>
          </cell>
          <cell r="N385">
            <v>227484.11199999996</v>
          </cell>
        </row>
        <row r="386">
          <cell r="E386">
            <v>41563</v>
          </cell>
          <cell r="H386">
            <v>4154.5420000000004</v>
          </cell>
          <cell r="J386">
            <v>4154.5420000000004</v>
          </cell>
          <cell r="K386">
            <v>206706.92099999997</v>
          </cell>
          <cell r="N386">
            <v>223329.56999999998</v>
          </cell>
        </row>
        <row r="387">
          <cell r="E387">
            <v>41564</v>
          </cell>
          <cell r="H387">
            <v>4114.4759999999997</v>
          </cell>
          <cell r="J387">
            <v>4114.4759999999997</v>
          </cell>
          <cell r="K387">
            <v>202592.44499999998</v>
          </cell>
          <cell r="N387">
            <v>219215.09399999998</v>
          </cell>
        </row>
        <row r="388">
          <cell r="E388">
            <v>41565</v>
          </cell>
          <cell r="H388">
            <v>3422.752</v>
          </cell>
          <cell r="J388">
            <v>3422.752</v>
          </cell>
          <cell r="K388">
            <v>199169.69299999997</v>
          </cell>
          <cell r="N388">
            <v>215792.34199999998</v>
          </cell>
        </row>
        <row r="389">
          <cell r="E389">
            <v>41566</v>
          </cell>
          <cell r="F389">
            <v>7607.5889999999999</v>
          </cell>
          <cell r="H389">
            <v>4305.9340000000002</v>
          </cell>
          <cell r="J389">
            <v>4305.9340000000002</v>
          </cell>
          <cell r="K389">
            <v>202471.34799999997</v>
          </cell>
          <cell r="N389">
            <v>219093.99699999997</v>
          </cell>
        </row>
        <row r="390">
          <cell r="E390">
            <v>41567</v>
          </cell>
          <cell r="H390">
            <v>1745.848</v>
          </cell>
          <cell r="J390">
            <v>1745.848</v>
          </cell>
          <cell r="K390">
            <v>200725.49999999997</v>
          </cell>
          <cell r="N390">
            <v>217348.14899999998</v>
          </cell>
        </row>
        <row r="391">
          <cell r="E391">
            <v>41568</v>
          </cell>
          <cell r="J391">
            <v>0</v>
          </cell>
          <cell r="K391">
            <v>200725.49999999997</v>
          </cell>
          <cell r="N391">
            <v>217348.14899999998</v>
          </cell>
        </row>
        <row r="392">
          <cell r="E392">
            <v>41569</v>
          </cell>
          <cell r="H392">
            <v>560.625</v>
          </cell>
          <cell r="J392">
            <v>560.625</v>
          </cell>
          <cell r="K392">
            <v>200164.87499999997</v>
          </cell>
          <cell r="N392">
            <v>216787.52399999998</v>
          </cell>
        </row>
        <row r="393">
          <cell r="E393">
            <v>41570</v>
          </cell>
          <cell r="H393">
            <v>4089.616</v>
          </cell>
          <cell r="J393">
            <v>4089.616</v>
          </cell>
          <cell r="K393">
            <v>196075.25899999996</v>
          </cell>
          <cell r="N393">
            <v>212697.90799999997</v>
          </cell>
        </row>
        <row r="394">
          <cell r="E394">
            <v>41571</v>
          </cell>
          <cell r="H394">
            <v>4274.4660000000003</v>
          </cell>
          <cell r="J394">
            <v>4274.4660000000003</v>
          </cell>
          <cell r="K394">
            <v>191800.79299999995</v>
          </cell>
          <cell r="N394">
            <v>208423.44199999995</v>
          </cell>
        </row>
        <row r="395">
          <cell r="E395">
            <v>41572</v>
          </cell>
          <cell r="H395">
            <v>4410.451</v>
          </cell>
          <cell r="J395">
            <v>4410.451</v>
          </cell>
          <cell r="K395">
            <v>187390.34199999995</v>
          </cell>
          <cell r="N395">
            <v>204012.99099999995</v>
          </cell>
        </row>
        <row r="396">
          <cell r="E396">
            <v>41573</v>
          </cell>
          <cell r="F396">
            <v>7006.732</v>
          </cell>
          <cell r="H396">
            <v>4208.1360000000004</v>
          </cell>
          <cell r="J396">
            <v>4208.1360000000004</v>
          </cell>
          <cell r="K396">
            <v>190188.93799999994</v>
          </cell>
          <cell r="N396">
            <v>206811.58699999994</v>
          </cell>
        </row>
        <row r="397">
          <cell r="E397">
            <v>41574</v>
          </cell>
          <cell r="H397">
            <v>4241.1909999999998</v>
          </cell>
          <cell r="I397">
            <v>6.9630000000000001</v>
          </cell>
          <cell r="J397">
            <v>4248.1539999999995</v>
          </cell>
          <cell r="K397">
            <v>185940.78399999993</v>
          </cell>
          <cell r="N397">
            <v>202563.43299999993</v>
          </cell>
        </row>
        <row r="398">
          <cell r="E398">
            <v>41575</v>
          </cell>
          <cell r="H398">
            <v>3601.7959999999998</v>
          </cell>
          <cell r="I398">
            <v>1212.326</v>
          </cell>
          <cell r="J398">
            <v>4814.1219999999994</v>
          </cell>
          <cell r="K398">
            <v>181126.66199999992</v>
          </cell>
          <cell r="N398">
            <v>197749.31099999993</v>
          </cell>
        </row>
        <row r="399">
          <cell r="E399">
            <v>41576</v>
          </cell>
          <cell r="H399">
            <v>2409.6419999999998</v>
          </cell>
          <cell r="J399">
            <v>2409.6419999999998</v>
          </cell>
          <cell r="K399">
            <v>178717.01999999993</v>
          </cell>
          <cell r="N399">
            <v>195339.66899999994</v>
          </cell>
        </row>
        <row r="400">
          <cell r="E400">
            <v>41577</v>
          </cell>
          <cell r="F400">
            <v>7584.232</v>
          </cell>
          <cell r="H400">
            <v>2979.0039999999999</v>
          </cell>
          <cell r="J400">
            <v>2979.0039999999999</v>
          </cell>
          <cell r="K400">
            <v>183322.24799999993</v>
          </cell>
          <cell r="N400">
            <v>199944.89699999994</v>
          </cell>
        </row>
        <row r="401">
          <cell r="E401">
            <v>41578</v>
          </cell>
          <cell r="H401">
            <v>3128.7249999999999</v>
          </cell>
          <cell r="J401">
            <v>3128.7249999999999</v>
          </cell>
          <cell r="K401">
            <v>180193.52299999993</v>
          </cell>
          <cell r="N401">
            <v>196816.17199999993</v>
          </cell>
        </row>
        <row r="402">
          <cell r="E402">
            <v>41579</v>
          </cell>
          <cell r="F402">
            <v>7505.2340000000004</v>
          </cell>
          <cell r="H402">
            <v>2819.5250000000001</v>
          </cell>
          <cell r="J402">
            <v>2819.5250000000001</v>
          </cell>
          <cell r="K402">
            <v>184879.23199999993</v>
          </cell>
          <cell r="N402">
            <v>201501.88099999994</v>
          </cell>
        </row>
        <row r="403">
          <cell r="E403">
            <v>41580</v>
          </cell>
          <cell r="H403">
            <v>4081.3969999999999</v>
          </cell>
          <cell r="J403">
            <v>4081.3969999999999</v>
          </cell>
          <cell r="K403">
            <v>180797.83499999993</v>
          </cell>
          <cell r="N403">
            <v>197420.48399999994</v>
          </cell>
        </row>
        <row r="404">
          <cell r="E404">
            <v>41581</v>
          </cell>
          <cell r="F404">
            <v>7607.473</v>
          </cell>
          <cell r="H404">
            <v>4285.6130000000003</v>
          </cell>
          <cell r="J404">
            <v>4285.6130000000003</v>
          </cell>
          <cell r="K404">
            <v>184119.69499999992</v>
          </cell>
          <cell r="N404">
            <v>200742.34399999992</v>
          </cell>
        </row>
        <row r="405">
          <cell r="E405">
            <v>41582</v>
          </cell>
          <cell r="H405">
            <v>3966.8980000000001</v>
          </cell>
          <cell r="J405">
            <v>3966.8980000000001</v>
          </cell>
          <cell r="K405">
            <v>180152.79699999993</v>
          </cell>
          <cell r="N405">
            <v>196775.44599999994</v>
          </cell>
        </row>
        <row r="406">
          <cell r="E406">
            <v>41583</v>
          </cell>
          <cell r="H406">
            <v>3898.4659999999999</v>
          </cell>
          <cell r="I406">
            <v>1918.9110000000001</v>
          </cell>
          <cell r="J406">
            <v>5817.3770000000004</v>
          </cell>
          <cell r="K406">
            <v>174335.41999999993</v>
          </cell>
          <cell r="N406">
            <v>190958.06899999993</v>
          </cell>
        </row>
        <row r="407">
          <cell r="E407">
            <v>41584</v>
          </cell>
          <cell r="F407">
            <v>7233.71</v>
          </cell>
          <cell r="H407">
            <v>3753.1509999999998</v>
          </cell>
          <cell r="I407">
            <v>3391.5059999999999</v>
          </cell>
          <cell r="J407">
            <v>7144.6569999999992</v>
          </cell>
          <cell r="K407">
            <v>174424.47299999991</v>
          </cell>
          <cell r="N407">
            <v>191047.12199999992</v>
          </cell>
        </row>
        <row r="408">
          <cell r="E408">
            <v>41585</v>
          </cell>
          <cell r="H408">
            <v>4025.4059999999999</v>
          </cell>
          <cell r="I408">
            <v>3096.9290000000001</v>
          </cell>
          <cell r="J408">
            <v>7122.335</v>
          </cell>
          <cell r="K408">
            <v>167302.13799999992</v>
          </cell>
          <cell r="N408">
            <v>183924.78699999992</v>
          </cell>
        </row>
        <row r="409">
          <cell r="E409">
            <v>41586</v>
          </cell>
          <cell r="F409">
            <v>7508.1809999999996</v>
          </cell>
          <cell r="H409">
            <v>3917.9360000000001</v>
          </cell>
          <cell r="I409">
            <v>2723.5749999999998</v>
          </cell>
          <cell r="J409">
            <v>6641.5110000000004</v>
          </cell>
          <cell r="K409">
            <v>168168.80799999993</v>
          </cell>
          <cell r="N409">
            <v>184791.45699999994</v>
          </cell>
        </row>
        <row r="410">
          <cell r="E410">
            <v>41587</v>
          </cell>
          <cell r="H410">
            <v>3468.1880000000001</v>
          </cell>
          <cell r="I410">
            <v>2247.277</v>
          </cell>
          <cell r="J410">
            <v>5715.4650000000001</v>
          </cell>
          <cell r="K410">
            <v>162453.34299999994</v>
          </cell>
          <cell r="N410">
            <v>179075.99199999994</v>
          </cell>
        </row>
        <row r="411">
          <cell r="E411">
            <v>41588</v>
          </cell>
          <cell r="H411">
            <v>3460.1729999999998</v>
          </cell>
          <cell r="I411">
            <v>2552.152</v>
          </cell>
          <cell r="J411">
            <v>6012.3249999999998</v>
          </cell>
          <cell r="K411">
            <v>156441.01799999992</v>
          </cell>
          <cell r="N411">
            <v>173063.66699999993</v>
          </cell>
        </row>
        <row r="412">
          <cell r="E412">
            <v>41589</v>
          </cell>
          <cell r="H412">
            <v>2784.1970000000001</v>
          </cell>
          <cell r="I412">
            <v>2451.931</v>
          </cell>
          <cell r="J412">
            <v>5236.1280000000006</v>
          </cell>
          <cell r="K412">
            <v>151204.88999999993</v>
          </cell>
          <cell r="N412">
            <v>167827.53899999993</v>
          </cell>
        </row>
        <row r="413">
          <cell r="E413">
            <v>41590</v>
          </cell>
          <cell r="H413">
            <v>4354.7489999999998</v>
          </cell>
          <cell r="I413">
            <v>2312.875</v>
          </cell>
          <cell r="J413">
            <v>6667.6239999999998</v>
          </cell>
          <cell r="K413">
            <v>144537.26599999992</v>
          </cell>
          <cell r="N413">
            <v>161159.91499999992</v>
          </cell>
        </row>
        <row r="414">
          <cell r="E414">
            <v>41591</v>
          </cell>
          <cell r="H414">
            <v>4335.1220000000003</v>
          </cell>
          <cell r="I414">
            <v>1938.491</v>
          </cell>
          <cell r="J414">
            <v>6273.6130000000003</v>
          </cell>
          <cell r="K414">
            <v>138263.6529999999</v>
          </cell>
          <cell r="N414">
            <v>154886.30199999991</v>
          </cell>
        </row>
        <row r="415">
          <cell r="E415">
            <v>41592</v>
          </cell>
          <cell r="G415">
            <v>149.72900000000001</v>
          </cell>
          <cell r="H415">
            <v>4342.2330000000002</v>
          </cell>
          <cell r="I415">
            <v>483.63499999999999</v>
          </cell>
          <cell r="J415">
            <v>4975.5970000000007</v>
          </cell>
          <cell r="K415">
            <v>133288.05599999989</v>
          </cell>
          <cell r="N415">
            <v>149910.7049999999</v>
          </cell>
        </row>
        <row r="416">
          <cell r="E416">
            <v>41593</v>
          </cell>
          <cell r="G416">
            <v>1846.22</v>
          </cell>
          <cell r="H416">
            <v>4281.1509999999998</v>
          </cell>
          <cell r="J416">
            <v>6127.3710000000001</v>
          </cell>
          <cell r="K416">
            <v>127160.6849999999</v>
          </cell>
          <cell r="N416">
            <v>143783.33399999989</v>
          </cell>
        </row>
        <row r="417">
          <cell r="E417">
            <v>41594</v>
          </cell>
          <cell r="G417">
            <v>1908.7650000000001</v>
          </cell>
          <cell r="H417">
            <v>4306.7860000000001</v>
          </cell>
          <cell r="J417">
            <v>6215.5510000000004</v>
          </cell>
          <cell r="K417">
            <v>120945.13399999989</v>
          </cell>
          <cell r="N417">
            <v>137567.78299999988</v>
          </cell>
        </row>
        <row r="418">
          <cell r="E418">
            <v>41595</v>
          </cell>
          <cell r="F418">
            <v>9762.4609999999993</v>
          </cell>
          <cell r="G418">
            <v>1935.59</v>
          </cell>
          <cell r="H418">
            <v>4027.0790000000002</v>
          </cell>
          <cell r="J418">
            <v>5962.6689999999999</v>
          </cell>
          <cell r="K418">
            <v>124744.92599999989</v>
          </cell>
          <cell r="N418">
            <v>141367.5749999999</v>
          </cell>
        </row>
        <row r="419">
          <cell r="E419">
            <v>41596</v>
          </cell>
          <cell r="G419">
            <v>2010.5039999999999</v>
          </cell>
          <cell r="H419">
            <v>4121.9889999999996</v>
          </cell>
          <cell r="J419">
            <v>6132.4929999999995</v>
          </cell>
          <cell r="K419">
            <v>118612.43299999989</v>
          </cell>
          <cell r="N419">
            <v>135235.08199999988</v>
          </cell>
        </row>
        <row r="420">
          <cell r="E420">
            <v>41597</v>
          </cell>
          <cell r="F420">
            <v>7603.21</v>
          </cell>
          <cell r="G420">
            <v>2057.462</v>
          </cell>
          <cell r="H420">
            <v>3994.692</v>
          </cell>
          <cell r="J420">
            <v>6052.1540000000005</v>
          </cell>
          <cell r="K420">
            <v>120163.4889999999</v>
          </cell>
          <cell r="N420">
            <v>136786.13799999989</v>
          </cell>
        </row>
        <row r="421">
          <cell r="E421">
            <v>41598</v>
          </cell>
          <cell r="G421">
            <v>1840.0409999999999</v>
          </cell>
          <cell r="H421">
            <v>4053.9050000000002</v>
          </cell>
          <cell r="J421">
            <v>5893.9459999999999</v>
          </cell>
          <cell r="K421">
            <v>114269.5429999999</v>
          </cell>
          <cell r="N421">
            <v>130892.19199999991</v>
          </cell>
        </row>
        <row r="422">
          <cell r="E422">
            <v>41599</v>
          </cell>
          <cell r="G422">
            <v>1996.567</v>
          </cell>
          <cell r="H422">
            <v>4292.4530000000004</v>
          </cell>
          <cell r="J422">
            <v>6289.02</v>
          </cell>
          <cell r="K422">
            <v>107980.5229999999</v>
          </cell>
          <cell r="N422">
            <v>124603.1719999999</v>
          </cell>
        </row>
        <row r="423">
          <cell r="E423">
            <v>41600</v>
          </cell>
          <cell r="F423">
            <v>8442.34</v>
          </cell>
          <cell r="G423">
            <v>1951.691</v>
          </cell>
          <cell r="H423">
            <v>4157.2129999999997</v>
          </cell>
          <cell r="J423">
            <v>6108.9039999999995</v>
          </cell>
          <cell r="K423">
            <v>110313.9589999999</v>
          </cell>
          <cell r="N423">
            <v>126936.60799999991</v>
          </cell>
        </row>
        <row r="424">
          <cell r="E424">
            <v>41601</v>
          </cell>
          <cell r="G424">
            <v>2291.11</v>
          </cell>
          <cell r="H424">
            <v>4048.152</v>
          </cell>
          <cell r="J424">
            <v>6339.2620000000006</v>
          </cell>
          <cell r="K424">
            <v>103974.6969999999</v>
          </cell>
          <cell r="N424">
            <v>120597.3459999999</v>
          </cell>
        </row>
        <row r="425">
          <cell r="E425">
            <v>41602</v>
          </cell>
          <cell r="F425">
            <v>7542.0020000000004</v>
          </cell>
          <cell r="G425">
            <v>2943.07</v>
          </cell>
          <cell r="H425">
            <v>2699.91</v>
          </cell>
          <cell r="J425">
            <v>5642.98</v>
          </cell>
          <cell r="K425">
            <v>105873.71899999991</v>
          </cell>
          <cell r="N425">
            <v>122496.36799999991</v>
          </cell>
        </row>
        <row r="426">
          <cell r="E426">
            <v>41603</v>
          </cell>
          <cell r="G426">
            <v>3325.3919999999998</v>
          </cell>
          <cell r="H426">
            <v>2211.3960000000002</v>
          </cell>
          <cell r="J426">
            <v>5536.7880000000005</v>
          </cell>
          <cell r="K426">
            <v>100336.93099999991</v>
          </cell>
          <cell r="N426">
            <v>116959.57999999991</v>
          </cell>
        </row>
        <row r="427">
          <cell r="E427">
            <v>41604</v>
          </cell>
          <cell r="F427">
            <v>7580.6589999999997</v>
          </cell>
          <cell r="G427">
            <v>3419.0120000000002</v>
          </cell>
          <cell r="H427">
            <v>753.21</v>
          </cell>
          <cell r="I427">
            <v>753.30100000000004</v>
          </cell>
          <cell r="J427">
            <v>4925.5230000000001</v>
          </cell>
          <cell r="K427">
            <v>102992.06699999991</v>
          </cell>
          <cell r="N427">
            <v>119614.71599999991</v>
          </cell>
        </row>
        <row r="428">
          <cell r="E428">
            <v>41605</v>
          </cell>
          <cell r="G428">
            <v>2323.335</v>
          </cell>
          <cell r="I428">
            <v>4053.75</v>
          </cell>
          <cell r="J428">
            <v>6377.085</v>
          </cell>
          <cell r="K428">
            <v>96614.981999999902</v>
          </cell>
          <cell r="N428">
            <v>113237.63099999991</v>
          </cell>
        </row>
        <row r="429">
          <cell r="E429">
            <v>41606</v>
          </cell>
          <cell r="G429">
            <v>2001.461</v>
          </cell>
          <cell r="I429">
            <v>4421.701</v>
          </cell>
          <cell r="J429">
            <v>6423.1620000000003</v>
          </cell>
          <cell r="K429">
            <v>90191.819999999905</v>
          </cell>
          <cell r="N429">
            <v>106814.46899999991</v>
          </cell>
        </row>
        <row r="430">
          <cell r="E430">
            <v>41607</v>
          </cell>
          <cell r="F430">
            <v>7353.3879999999999</v>
          </cell>
          <cell r="G430">
            <v>2273.8989999999999</v>
          </cell>
          <cell r="I430">
            <v>4543.4549999999999</v>
          </cell>
          <cell r="J430">
            <v>6817.3539999999994</v>
          </cell>
          <cell r="K430">
            <v>90727.853999999905</v>
          </cell>
          <cell r="N430">
            <v>107350.50299999991</v>
          </cell>
        </row>
        <row r="431">
          <cell r="E431">
            <v>41608</v>
          </cell>
          <cell r="F431">
            <v>9074.6200000000008</v>
          </cell>
          <cell r="G431">
            <v>2036.9849999999999</v>
          </cell>
          <cell r="I431">
            <v>4288.3959999999997</v>
          </cell>
          <cell r="J431">
            <v>6325.3809999999994</v>
          </cell>
          <cell r="K431">
            <v>93477.092999999906</v>
          </cell>
          <cell r="N431">
            <v>110099.74199999991</v>
          </cell>
        </row>
        <row r="432">
          <cell r="E432">
            <v>41609.416666666664</v>
          </cell>
          <cell r="F432">
            <v>7479.66</v>
          </cell>
          <cell r="J432">
            <v>0</v>
          </cell>
          <cell r="K432">
            <v>100956.75299999991</v>
          </cell>
          <cell r="N432">
            <v>117579.40199999991</v>
          </cell>
        </row>
        <row r="433">
          <cell r="E433">
            <v>41609</v>
          </cell>
          <cell r="G433">
            <v>2178.2399999999998</v>
          </cell>
          <cell r="I433">
            <v>4573.4459999999999</v>
          </cell>
          <cell r="J433">
            <v>6751.6859999999997</v>
          </cell>
          <cell r="K433">
            <v>94205.066999999908</v>
          </cell>
          <cell r="N433">
            <v>110827.71599999991</v>
          </cell>
        </row>
        <row r="434">
          <cell r="E434">
            <v>41610</v>
          </cell>
          <cell r="F434">
            <v>8239.9989999999998</v>
          </cell>
          <cell r="G434">
            <v>2474.3029999999999</v>
          </cell>
          <cell r="I434">
            <v>4418.8010000000004</v>
          </cell>
          <cell r="J434">
            <v>6893.1040000000003</v>
          </cell>
          <cell r="K434">
            <v>102303.6479999999</v>
          </cell>
          <cell r="N434">
            <v>118926.2969999999</v>
          </cell>
        </row>
        <row r="435">
          <cell r="E435">
            <v>41611</v>
          </cell>
          <cell r="F435">
            <v>7507.9690000000001</v>
          </cell>
          <cell r="G435">
            <v>2276.6390000000001</v>
          </cell>
          <cell r="I435">
            <v>4289.616</v>
          </cell>
          <cell r="J435">
            <v>6566.2550000000001</v>
          </cell>
          <cell r="K435">
            <v>103245.36199999989</v>
          </cell>
          <cell r="N435">
            <v>119868.0109999999</v>
          </cell>
        </row>
        <row r="436">
          <cell r="E436">
            <v>41612</v>
          </cell>
          <cell r="G436">
            <v>2180.4229999999998</v>
          </cell>
          <cell r="I436">
            <v>4284.3959999999997</v>
          </cell>
          <cell r="J436">
            <v>6464.8189999999995</v>
          </cell>
          <cell r="K436">
            <v>96780.542999999889</v>
          </cell>
          <cell r="N436">
            <v>113403.19199999989</v>
          </cell>
        </row>
        <row r="437">
          <cell r="E437">
            <v>41613</v>
          </cell>
          <cell r="F437">
            <v>7687.6909999999998</v>
          </cell>
          <cell r="G437">
            <v>2239.0859999999998</v>
          </cell>
          <cell r="I437">
            <v>4325.152</v>
          </cell>
          <cell r="J437">
            <v>6564.2379999999994</v>
          </cell>
          <cell r="K437">
            <v>97903.995999999897</v>
          </cell>
          <cell r="N437">
            <v>114526.6449999999</v>
          </cell>
        </row>
        <row r="438">
          <cell r="E438">
            <v>41614</v>
          </cell>
          <cell r="G438">
            <v>2241.9699999999998</v>
          </cell>
          <cell r="I438">
            <v>4165.5600000000004</v>
          </cell>
          <cell r="J438">
            <v>6407.5300000000007</v>
          </cell>
          <cell r="K438">
            <v>91496.465999999898</v>
          </cell>
          <cell r="N438">
            <v>108119.1149999999</v>
          </cell>
        </row>
        <row r="439">
          <cell r="E439">
            <v>41615</v>
          </cell>
          <cell r="F439">
            <v>7553.777</v>
          </cell>
          <cell r="G439">
            <v>1841</v>
          </cell>
          <cell r="I439">
            <v>4228.4399999999996</v>
          </cell>
          <cell r="J439">
            <v>6069.44</v>
          </cell>
          <cell r="K439">
            <v>92980.802999999898</v>
          </cell>
          <cell r="N439">
            <v>109603.4519999999</v>
          </cell>
        </row>
        <row r="440">
          <cell r="E440">
            <v>41616</v>
          </cell>
          <cell r="F440">
            <v>9894.5689999999995</v>
          </cell>
          <cell r="G440">
            <v>875.01</v>
          </cell>
          <cell r="H440">
            <v>1311.37</v>
          </cell>
          <cell r="I440">
            <v>4014.28</v>
          </cell>
          <cell r="J440">
            <v>6200.66</v>
          </cell>
          <cell r="K440">
            <v>96674.711999999898</v>
          </cell>
          <cell r="N440">
            <v>113297.3609999999</v>
          </cell>
        </row>
        <row r="441">
          <cell r="E441">
            <v>41617</v>
          </cell>
          <cell r="H441">
            <v>3801.2069999999999</v>
          </cell>
          <cell r="I441">
            <v>2940.38</v>
          </cell>
          <cell r="J441">
            <v>6741.5869999999995</v>
          </cell>
          <cell r="K441">
            <v>89933.124999999898</v>
          </cell>
          <cell r="N441">
            <v>106555.7739999999</v>
          </cell>
        </row>
        <row r="442">
          <cell r="E442">
            <v>41618</v>
          </cell>
          <cell r="F442">
            <v>7587.7449999999999</v>
          </cell>
          <cell r="H442">
            <v>3952.0450000000001</v>
          </cell>
          <cell r="I442">
            <v>2903.7080000000001</v>
          </cell>
          <cell r="J442">
            <v>6855.7530000000006</v>
          </cell>
          <cell r="K442">
            <v>90665.116999999897</v>
          </cell>
          <cell r="N442">
            <v>107287.7659999999</v>
          </cell>
        </row>
        <row r="443">
          <cell r="E443">
            <v>41619</v>
          </cell>
          <cell r="F443">
            <v>7729.6390000000001</v>
          </cell>
          <cell r="H443">
            <v>3389.6979999999999</v>
          </cell>
          <cell r="I443">
            <v>3112.6289999999999</v>
          </cell>
          <cell r="J443">
            <v>6502.3269999999993</v>
          </cell>
          <cell r="K443">
            <v>91892.428999999887</v>
          </cell>
          <cell r="N443">
            <v>108515.07799999989</v>
          </cell>
        </row>
        <row r="444">
          <cell r="E444">
            <v>41620</v>
          </cell>
          <cell r="H444">
            <v>4321.9989999999998</v>
          </cell>
          <cell r="I444">
            <v>288.76100000000002</v>
          </cell>
          <cell r="J444">
            <v>4610.76</v>
          </cell>
          <cell r="K444">
            <v>87281.668999999893</v>
          </cell>
          <cell r="N444">
            <v>103904.3179999999</v>
          </cell>
        </row>
        <row r="445">
          <cell r="E445">
            <v>41621</v>
          </cell>
          <cell r="F445">
            <v>7286.3919999999998</v>
          </cell>
          <cell r="H445">
            <v>3589.4380000000001</v>
          </cell>
          <cell r="I445">
            <v>3371.53</v>
          </cell>
          <cell r="J445">
            <v>6960.9680000000008</v>
          </cell>
          <cell r="K445">
            <v>87607.092999999906</v>
          </cell>
          <cell r="N445">
            <v>104229.74199999991</v>
          </cell>
        </row>
        <row r="446">
          <cell r="E446">
            <v>41622</v>
          </cell>
          <cell r="F446">
            <v>8053.223</v>
          </cell>
          <cell r="H446">
            <v>2284.5100000000002</v>
          </cell>
          <cell r="I446">
            <v>4607.4030000000002</v>
          </cell>
          <cell r="J446">
            <v>6891.9130000000005</v>
          </cell>
          <cell r="K446">
            <v>88768.402999999904</v>
          </cell>
          <cell r="N446">
            <v>105391.05199999991</v>
          </cell>
        </row>
        <row r="447">
          <cell r="E447">
            <v>41623</v>
          </cell>
          <cell r="F447">
            <v>7520.3410000000003</v>
          </cell>
          <cell r="H447">
            <v>2021.4949999999999</v>
          </cell>
          <cell r="I447">
            <v>2339.0740000000001</v>
          </cell>
          <cell r="J447">
            <v>4360.5689999999995</v>
          </cell>
          <cell r="K447">
            <v>91928.174999999901</v>
          </cell>
          <cell r="N447">
            <v>108550.82399999991</v>
          </cell>
        </row>
        <row r="448">
          <cell r="E448">
            <v>41624</v>
          </cell>
          <cell r="F448">
            <v>7657.8770000000004</v>
          </cell>
          <cell r="H448">
            <v>2053.8719999999998</v>
          </cell>
          <cell r="I448">
            <v>2649.3589999999999</v>
          </cell>
          <cell r="J448">
            <v>4703.2309999999998</v>
          </cell>
          <cell r="K448">
            <v>94882.820999999909</v>
          </cell>
          <cell r="N448">
            <v>111505.46999999991</v>
          </cell>
        </row>
        <row r="449">
          <cell r="E449">
            <v>41625</v>
          </cell>
          <cell r="F449">
            <v>8067.96</v>
          </cell>
          <cell r="H449">
            <v>2085.3539999999998</v>
          </cell>
          <cell r="I449">
            <v>2633.9110000000001</v>
          </cell>
          <cell r="J449">
            <v>4719.2649999999994</v>
          </cell>
          <cell r="K449">
            <v>98231.515999999916</v>
          </cell>
          <cell r="N449">
            <v>114092.37399999992</v>
          </cell>
        </row>
        <row r="450">
          <cell r="E450">
            <v>41626</v>
          </cell>
          <cell r="H450">
            <v>2043.5550000000001</v>
          </cell>
          <cell r="I450">
            <v>2588.3519999999999</v>
          </cell>
          <cell r="J450">
            <v>4631.9070000000002</v>
          </cell>
          <cell r="K450">
            <v>89949.591</v>
          </cell>
          <cell r="N450">
            <v>105810.44899999999</v>
          </cell>
        </row>
        <row r="451">
          <cell r="E451">
            <v>41627</v>
          </cell>
          <cell r="H451">
            <v>2048.415</v>
          </cell>
          <cell r="I451">
            <v>2868.056</v>
          </cell>
          <cell r="J451">
            <v>4916.4709999999995</v>
          </cell>
          <cell r="K451">
            <v>85033.12</v>
          </cell>
          <cell r="N451">
            <v>100893.978</v>
          </cell>
        </row>
        <row r="452">
          <cell r="E452">
            <v>41628</v>
          </cell>
          <cell r="F452">
            <v>7527.3490000000002</v>
          </cell>
          <cell r="H452">
            <v>1572.317</v>
          </cell>
          <cell r="I452">
            <v>3684.72</v>
          </cell>
          <cell r="J452">
            <v>5257.0370000000003</v>
          </cell>
          <cell r="K452">
            <v>87303.432000000001</v>
          </cell>
          <cell r="N452">
            <v>103164.29000000001</v>
          </cell>
        </row>
        <row r="453">
          <cell r="E453">
            <v>41629</v>
          </cell>
          <cell r="F453">
            <v>7478.5339999999997</v>
          </cell>
          <cell r="H453">
            <v>1511.9059999999999</v>
          </cell>
          <cell r="I453">
            <v>3378.1930000000002</v>
          </cell>
          <cell r="J453">
            <v>4890.0990000000002</v>
          </cell>
          <cell r="K453">
            <v>89891.866999999998</v>
          </cell>
          <cell r="N453">
            <v>105752.72500000001</v>
          </cell>
        </row>
        <row r="454">
          <cell r="E454">
            <v>41630</v>
          </cell>
          <cell r="I454">
            <v>4278.817</v>
          </cell>
          <cell r="J454">
            <v>4278.817</v>
          </cell>
          <cell r="K454">
            <v>85613.05</v>
          </cell>
          <cell r="N454">
            <v>101473.908</v>
          </cell>
        </row>
        <row r="455">
          <cell r="E455">
            <v>41631</v>
          </cell>
          <cell r="I455">
            <v>3629.2829999999999</v>
          </cell>
          <cell r="J455">
            <v>3629.2829999999999</v>
          </cell>
          <cell r="K455">
            <v>81983.767000000007</v>
          </cell>
          <cell r="N455">
            <v>97844.625</v>
          </cell>
        </row>
        <row r="456">
          <cell r="E456">
            <v>41632</v>
          </cell>
          <cell r="I456">
            <v>3919.6930000000002</v>
          </cell>
          <cell r="J456">
            <v>3919.6930000000002</v>
          </cell>
          <cell r="K456">
            <v>78064.074000000008</v>
          </cell>
          <cell r="N456">
            <v>93924.932000000001</v>
          </cell>
        </row>
        <row r="457">
          <cell r="E457">
            <v>41633</v>
          </cell>
          <cell r="I457">
            <v>3737.529</v>
          </cell>
          <cell r="J457">
            <v>3737.529</v>
          </cell>
          <cell r="K457">
            <v>74326.545000000013</v>
          </cell>
          <cell r="N457">
            <v>90187.40300000002</v>
          </cell>
        </row>
        <row r="458">
          <cell r="E458">
            <v>41634</v>
          </cell>
          <cell r="F458">
            <v>7535.4560000000001</v>
          </cell>
          <cell r="H458">
            <v>1620.577</v>
          </cell>
          <cell r="I458">
            <v>3182.194</v>
          </cell>
          <cell r="J458">
            <v>4802.7709999999997</v>
          </cell>
          <cell r="K458">
            <v>77059.230000000025</v>
          </cell>
          <cell r="N458">
            <v>92920.088000000018</v>
          </cell>
        </row>
        <row r="459">
          <cell r="E459">
            <v>41635</v>
          </cell>
          <cell r="F459">
            <v>10033.499</v>
          </cell>
          <cell r="H459">
            <v>3035.4580000000001</v>
          </cell>
          <cell r="I459">
            <v>2332.2130000000002</v>
          </cell>
          <cell r="J459">
            <v>5367.6710000000003</v>
          </cell>
          <cell r="K459">
            <v>81725.058000000019</v>
          </cell>
          <cell r="N459">
            <v>97585.916000000027</v>
          </cell>
        </row>
        <row r="460">
          <cell r="E460">
            <v>41636</v>
          </cell>
          <cell r="F460">
            <v>7508.6180000000004</v>
          </cell>
          <cell r="H460">
            <v>3446.6460000000002</v>
          </cell>
          <cell r="I460">
            <v>2821.4479999999999</v>
          </cell>
          <cell r="J460">
            <v>6268.0940000000001</v>
          </cell>
          <cell r="K460">
            <v>82965.582000000024</v>
          </cell>
          <cell r="N460">
            <v>98826.440000000031</v>
          </cell>
        </row>
        <row r="461">
          <cell r="E461">
            <v>41637</v>
          </cell>
          <cell r="H461">
            <v>2377.145</v>
          </cell>
          <cell r="I461">
            <v>2942.2660000000001</v>
          </cell>
          <cell r="J461">
            <v>5319.4110000000001</v>
          </cell>
          <cell r="K461">
            <v>77646.171000000031</v>
          </cell>
          <cell r="N461">
            <v>93507.029000000039</v>
          </cell>
        </row>
        <row r="462">
          <cell r="E462">
            <v>41638</v>
          </cell>
          <cell r="F462">
            <v>7612.4809999999998</v>
          </cell>
          <cell r="H462">
            <v>2993.8020000000001</v>
          </cell>
          <cell r="I462">
            <v>2168.6419999999998</v>
          </cell>
          <cell r="J462">
            <v>5162.4439999999995</v>
          </cell>
          <cell r="K462">
            <v>80096.208000000028</v>
          </cell>
          <cell r="N462">
            <v>95957.066000000021</v>
          </cell>
        </row>
        <row r="463">
          <cell r="E463">
            <v>41639</v>
          </cell>
          <cell r="H463">
            <v>2255.7550000000001</v>
          </cell>
          <cell r="I463">
            <v>2948.5279999999998</v>
          </cell>
          <cell r="J463">
            <v>5204.2829999999994</v>
          </cell>
          <cell r="K463">
            <v>74891.925000000032</v>
          </cell>
          <cell r="N463">
            <v>90752.783000000025</v>
          </cell>
        </row>
        <row r="464">
          <cell r="E464">
            <v>41640.416666666664</v>
          </cell>
          <cell r="F464">
            <v>7529.4539999999997</v>
          </cell>
          <cell r="J464">
            <v>0</v>
          </cell>
          <cell r="K464">
            <v>82421.37900000003</v>
          </cell>
          <cell r="N464">
            <v>98282.237000000023</v>
          </cell>
        </row>
        <row r="465">
          <cell r="E465">
            <v>41640</v>
          </cell>
          <cell r="F465">
            <v>7354.57</v>
          </cell>
          <cell r="H465">
            <v>2394.7440000000001</v>
          </cell>
          <cell r="I465">
            <v>3214.0259999999998</v>
          </cell>
          <cell r="J465">
            <v>5608.77</v>
          </cell>
          <cell r="K465">
            <v>84167.179000000018</v>
          </cell>
          <cell r="N465">
            <v>100028.03700000001</v>
          </cell>
        </row>
        <row r="466">
          <cell r="E466">
            <v>41641</v>
          </cell>
          <cell r="J466">
            <v>0</v>
          </cell>
          <cell r="K466">
            <v>84167.179000000018</v>
          </cell>
          <cell r="N466">
            <v>100028.03700000001</v>
          </cell>
        </row>
        <row r="467">
          <cell r="E467">
            <v>41642</v>
          </cell>
          <cell r="J467">
            <v>0</v>
          </cell>
          <cell r="K467">
            <v>84167.179000000018</v>
          </cell>
          <cell r="N467">
            <v>100028.03700000001</v>
          </cell>
        </row>
        <row r="468">
          <cell r="E468">
            <v>41643</v>
          </cell>
          <cell r="J468">
            <v>0</v>
          </cell>
          <cell r="K468">
            <v>84167.179000000018</v>
          </cell>
          <cell r="N468">
            <v>100028.03700000001</v>
          </cell>
        </row>
        <row r="469">
          <cell r="E469">
            <v>41644</v>
          </cell>
          <cell r="J469">
            <v>0</v>
          </cell>
          <cell r="K469">
            <v>84167.179000000018</v>
          </cell>
          <cell r="N469">
            <v>100028.03700000001</v>
          </cell>
        </row>
        <row r="470">
          <cell r="E470">
            <v>41645</v>
          </cell>
          <cell r="J470">
            <v>0</v>
          </cell>
          <cell r="K470">
            <v>84167.179000000018</v>
          </cell>
          <cell r="N470">
            <v>100028.03700000001</v>
          </cell>
        </row>
        <row r="471">
          <cell r="E471">
            <v>41646</v>
          </cell>
          <cell r="J471">
            <v>0</v>
          </cell>
          <cell r="K471">
            <v>84167.179000000018</v>
          </cell>
          <cell r="N471">
            <v>100028.03700000001</v>
          </cell>
        </row>
        <row r="472">
          <cell r="E472">
            <v>41647</v>
          </cell>
          <cell r="J472">
            <v>0</v>
          </cell>
          <cell r="K472">
            <v>84167.179000000018</v>
          </cell>
          <cell r="N472">
            <v>100028.03700000001</v>
          </cell>
        </row>
        <row r="473">
          <cell r="E473">
            <v>41648</v>
          </cell>
          <cell r="J473">
            <v>0</v>
          </cell>
          <cell r="K473">
            <v>84167.179000000018</v>
          </cell>
          <cell r="N473">
            <v>100028.03700000001</v>
          </cell>
        </row>
        <row r="474">
          <cell r="E474">
            <v>41649</v>
          </cell>
          <cell r="J474">
            <v>0</v>
          </cell>
          <cell r="K474">
            <v>84167.179000000018</v>
          </cell>
          <cell r="N474">
            <v>100028.03700000001</v>
          </cell>
        </row>
        <row r="475">
          <cell r="E475">
            <v>41650</v>
          </cell>
          <cell r="J475">
            <v>0</v>
          </cell>
          <cell r="K475">
            <v>84167.179000000018</v>
          </cell>
          <cell r="N475">
            <v>100028.03700000001</v>
          </cell>
        </row>
        <row r="476">
          <cell r="E476">
            <v>41651</v>
          </cell>
          <cell r="J476">
            <v>0</v>
          </cell>
          <cell r="K476">
            <v>84167.179000000018</v>
          </cell>
          <cell r="N476">
            <v>100028.03700000001</v>
          </cell>
        </row>
        <row r="477">
          <cell r="E477">
            <v>41652</v>
          </cell>
          <cell r="J477">
            <v>0</v>
          </cell>
          <cell r="K477">
            <v>84167.179000000018</v>
          </cell>
          <cell r="N477">
            <v>100028.03700000001</v>
          </cell>
        </row>
        <row r="479">
          <cell r="G479">
            <v>462067.64199999999</v>
          </cell>
          <cell r="H479">
            <v>230933.05200000003</v>
          </cell>
          <cell r="I479">
            <v>149237.57999999996</v>
          </cell>
          <cell r="J479">
            <v>842238.27399999998</v>
          </cell>
        </row>
        <row r="482">
          <cell r="J482">
            <v>9422.4959999999992</v>
          </cell>
        </row>
        <row r="486">
          <cell r="H486">
            <v>0</v>
          </cell>
        </row>
      </sheetData>
      <sheetData sheetId="1"/>
      <sheetData sheetId="2"/>
      <sheetData sheetId="3"/>
      <sheetData sheetId="4"/>
      <sheetData sheetId="5"/>
      <sheetData sheetId="6">
        <row r="15">
          <cell r="U15">
            <v>2011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ATU"/>
      <sheetName val="Coal Blend"/>
      <sheetName val="Resume Coal Blend"/>
      <sheetName val="Estimasi NPHR"/>
      <sheetName val="UNIT 1"/>
      <sheetName val="UNIT 2"/>
      <sheetName val="UNIT 3"/>
      <sheetName val="COAL BLENDING MARET 2020"/>
      <sheetName val="INPUT DATA"/>
      <sheetName val="kWh Gross"/>
      <sheetName val="MaxMin"/>
    </sheetNames>
    <sheetDataSet>
      <sheetData sheetId="0"/>
      <sheetData sheetId="1">
        <row r="7">
          <cell r="BV7">
            <v>0.43333333333333335</v>
          </cell>
        </row>
        <row r="23">
          <cell r="BV23">
            <v>0.5</v>
          </cell>
        </row>
        <row r="39">
          <cell r="BV39">
            <v>0.43333333333333335</v>
          </cell>
        </row>
        <row r="55">
          <cell r="BV55">
            <v>0.51666666666666661</v>
          </cell>
        </row>
        <row r="71">
          <cell r="BV71">
            <v>0.91666666666666663</v>
          </cell>
        </row>
        <row r="87">
          <cell r="BV87">
            <v>0.6333333333333333</v>
          </cell>
        </row>
        <row r="103">
          <cell r="BV103">
            <v>0.53333333333333333</v>
          </cell>
        </row>
        <row r="119">
          <cell r="BV119">
            <v>0.7416666666666667</v>
          </cell>
        </row>
        <row r="135">
          <cell r="BV135">
            <v>0.78333333333333321</v>
          </cell>
        </row>
        <row r="151">
          <cell r="BV151">
            <v>0.75</v>
          </cell>
        </row>
        <row r="167">
          <cell r="BV167">
            <v>0.76666666666666661</v>
          </cell>
        </row>
        <row r="183">
          <cell r="BV183">
            <v>0.70000000000000007</v>
          </cell>
        </row>
        <row r="199">
          <cell r="BV199">
            <v>0.76666666666666661</v>
          </cell>
        </row>
        <row r="215">
          <cell r="BV215">
            <v>0.76666666666666661</v>
          </cell>
        </row>
        <row r="231">
          <cell r="BV231">
            <v>0.66666666666666663</v>
          </cell>
        </row>
        <row r="247">
          <cell r="BV247">
            <v>0.96666666666666667</v>
          </cell>
        </row>
        <row r="263">
          <cell r="BV263">
            <v>1</v>
          </cell>
        </row>
        <row r="279">
          <cell r="BV279">
            <v>1</v>
          </cell>
        </row>
        <row r="295">
          <cell r="BV295">
            <v>1</v>
          </cell>
        </row>
        <row r="311">
          <cell r="BV311">
            <v>0.65</v>
          </cell>
        </row>
        <row r="327">
          <cell r="BV327">
            <v>0.76666666666666661</v>
          </cell>
        </row>
        <row r="343">
          <cell r="BV343">
            <v>1</v>
          </cell>
        </row>
        <row r="359">
          <cell r="BV359">
            <v>0.93333333333333324</v>
          </cell>
        </row>
        <row r="375">
          <cell r="BV375">
            <v>0.75</v>
          </cell>
        </row>
        <row r="391">
          <cell r="BV391">
            <v>0.58333333333333337</v>
          </cell>
        </row>
        <row r="407">
          <cell r="BV407">
            <v>0.51666666666666672</v>
          </cell>
        </row>
        <row r="423">
          <cell r="BV423">
            <v>0.5</v>
          </cell>
        </row>
        <row r="439">
          <cell r="BV439">
            <v>0.69999999999999984</v>
          </cell>
        </row>
        <row r="455">
          <cell r="BV455">
            <v>0.6</v>
          </cell>
        </row>
        <row r="471">
          <cell r="BV471">
            <v>0.6</v>
          </cell>
        </row>
      </sheetData>
      <sheetData sheetId="2"/>
      <sheetData sheetId="3">
        <row r="4">
          <cell r="C4">
            <v>4340.5576666666666</v>
          </cell>
          <cell r="D4">
            <v>0</v>
          </cell>
        </row>
        <row r="5">
          <cell r="C5">
            <v>4433.666666666667</v>
          </cell>
          <cell r="D5">
            <v>0</v>
          </cell>
        </row>
        <row r="6">
          <cell r="C6">
            <v>4360.1600000000008</v>
          </cell>
          <cell r="D6">
            <v>0</v>
          </cell>
        </row>
        <row r="7">
          <cell r="C7">
            <v>4452.4454432477214</v>
          </cell>
          <cell r="D7">
            <v>0</v>
          </cell>
        </row>
        <row r="8">
          <cell r="C8">
            <v>4492.5043532338304</v>
          </cell>
          <cell r="D8">
            <v>0</v>
          </cell>
        </row>
        <row r="9">
          <cell r="C9">
            <v>4431.128015803336</v>
          </cell>
          <cell r="D9">
            <v>0</v>
          </cell>
        </row>
        <row r="10">
          <cell r="C10">
            <v>4347.5101111111107</v>
          </cell>
          <cell r="D10">
            <v>0</v>
          </cell>
        </row>
        <row r="11">
          <cell r="C11">
            <v>4433.5166162698406</v>
          </cell>
          <cell r="D11">
            <v>0</v>
          </cell>
        </row>
        <row r="12">
          <cell r="C12">
            <v>4518.4326347765009</v>
          </cell>
          <cell r="D12">
            <v>0</v>
          </cell>
        </row>
        <row r="13">
          <cell r="C13">
            <v>4444.6236333052984</v>
          </cell>
          <cell r="D13">
            <v>0</v>
          </cell>
        </row>
        <row r="14">
          <cell r="C14">
            <v>4429.5024800000001</v>
          </cell>
          <cell r="D14">
            <v>0</v>
          </cell>
        </row>
        <row r="15">
          <cell r="C15">
            <v>4426.7258666666667</v>
          </cell>
          <cell r="D15">
            <v>0</v>
          </cell>
        </row>
        <row r="16">
          <cell r="C16">
            <v>4449.3614718614726</v>
          </cell>
          <cell r="D16">
            <v>0</v>
          </cell>
        </row>
        <row r="17">
          <cell r="C17">
            <v>4448.627871621622</v>
          </cell>
          <cell r="D17">
            <v>0</v>
          </cell>
        </row>
        <row r="18">
          <cell r="C18">
            <v>4310.2695652173916</v>
          </cell>
          <cell r="D18">
            <v>0</v>
          </cell>
        </row>
        <row r="19">
          <cell r="C19">
            <v>4580.7213965744404</v>
          </cell>
          <cell r="D19">
            <v>0</v>
          </cell>
        </row>
        <row r="20">
          <cell r="C20">
            <v>4544.3540903540897</v>
          </cell>
          <cell r="D20">
            <v>0</v>
          </cell>
        </row>
        <row r="21">
          <cell r="C21">
            <v>4530.7909909909913</v>
          </cell>
          <cell r="D21">
            <v>0</v>
          </cell>
        </row>
        <row r="22">
          <cell r="C22">
            <v>4451.5116883116889</v>
          </cell>
          <cell r="D22">
            <v>0</v>
          </cell>
        </row>
        <row r="23">
          <cell r="C23">
            <v>4325.8764268828099</v>
          </cell>
          <cell r="D23">
            <v>0</v>
          </cell>
        </row>
        <row r="24">
          <cell r="C24">
            <v>4396.2580952380949</v>
          </cell>
          <cell r="D24">
            <v>0</v>
          </cell>
        </row>
        <row r="25">
          <cell r="C25">
            <v>4476.8462556306304</v>
          </cell>
          <cell r="D25">
            <v>0</v>
          </cell>
        </row>
        <row r="26">
          <cell r="C26">
            <v>4368.5666666666666</v>
          </cell>
          <cell r="D26">
            <v>0</v>
          </cell>
        </row>
        <row r="27">
          <cell r="C27">
            <v>4435.1892113207541</v>
          </cell>
          <cell r="D27">
            <v>0</v>
          </cell>
        </row>
        <row r="28">
          <cell r="C28">
            <v>4441.7499850588983</v>
          </cell>
          <cell r="D28">
            <v>0</v>
          </cell>
        </row>
        <row r="29">
          <cell r="C29">
            <v>4413.9728897715986</v>
          </cell>
          <cell r="D29">
            <v>0</v>
          </cell>
        </row>
        <row r="30">
          <cell r="C30">
            <v>4346.333333333333</v>
          </cell>
          <cell r="D30">
            <v>0</v>
          </cell>
        </row>
        <row r="31">
          <cell r="C31">
            <v>4411.7962666666672</v>
          </cell>
          <cell r="D31">
            <v>0</v>
          </cell>
        </row>
        <row r="32">
          <cell r="C32">
            <v>4398.7667666666666</v>
          </cell>
          <cell r="D32">
            <v>0</v>
          </cell>
        </row>
        <row r="33">
          <cell r="C33">
            <v>4373.3656947368427</v>
          </cell>
          <cell r="D33">
            <v>0</v>
          </cell>
        </row>
      </sheetData>
      <sheetData sheetId="4">
        <row r="4">
          <cell r="B4">
            <v>1</v>
          </cell>
          <cell r="D4">
            <v>0</v>
          </cell>
          <cell r="E4">
            <v>0.43333333333333335</v>
          </cell>
          <cell r="F4">
            <v>0.56666666666666665</v>
          </cell>
          <cell r="G4">
            <v>0</v>
          </cell>
          <cell r="H4">
            <v>0</v>
          </cell>
        </row>
        <row r="5">
          <cell r="B5">
            <v>2</v>
          </cell>
          <cell r="D5">
            <v>0</v>
          </cell>
          <cell r="E5">
            <v>0.5</v>
          </cell>
          <cell r="F5">
            <v>0.5</v>
          </cell>
          <cell r="G5">
            <v>0</v>
          </cell>
          <cell r="H5">
            <v>0</v>
          </cell>
        </row>
        <row r="6">
          <cell r="B6">
            <v>3</v>
          </cell>
          <cell r="D6">
            <v>0</v>
          </cell>
          <cell r="E6">
            <v>0.43333333333333335</v>
          </cell>
          <cell r="F6">
            <v>0.56666666666666665</v>
          </cell>
          <cell r="G6">
            <v>0</v>
          </cell>
          <cell r="H6">
            <v>0</v>
          </cell>
        </row>
        <row r="7">
          <cell r="B7">
            <v>4</v>
          </cell>
          <cell r="D7">
            <v>0</v>
          </cell>
          <cell r="E7">
            <v>0.51666666666666661</v>
          </cell>
          <cell r="F7">
            <v>0.48333333333333339</v>
          </cell>
          <cell r="G7">
            <v>0</v>
          </cell>
          <cell r="H7">
            <v>0</v>
          </cell>
        </row>
        <row r="8">
          <cell r="B8">
            <v>5</v>
          </cell>
          <cell r="D8">
            <v>0</v>
          </cell>
          <cell r="E8">
            <v>0.91666666666666663</v>
          </cell>
          <cell r="F8">
            <v>8.333333333333337E-2</v>
          </cell>
          <cell r="G8">
            <v>0</v>
          </cell>
          <cell r="H8">
            <v>0</v>
          </cell>
        </row>
        <row r="9">
          <cell r="B9">
            <v>6</v>
          </cell>
          <cell r="D9">
            <v>0</v>
          </cell>
          <cell r="E9">
            <v>0.6333333333333333</v>
          </cell>
          <cell r="F9">
            <v>0.3666666666666667</v>
          </cell>
          <cell r="G9">
            <v>0</v>
          </cell>
          <cell r="H9">
            <v>0</v>
          </cell>
        </row>
        <row r="10">
          <cell r="B10">
            <v>7</v>
          </cell>
          <cell r="D10">
            <v>0</v>
          </cell>
          <cell r="E10">
            <v>0.53333333333333333</v>
          </cell>
          <cell r="F10">
            <v>0.46666666666666667</v>
          </cell>
          <cell r="G10">
            <v>0</v>
          </cell>
          <cell r="H10">
            <v>0</v>
          </cell>
        </row>
        <row r="11">
          <cell r="B11">
            <v>8</v>
          </cell>
          <cell r="D11">
            <v>0</v>
          </cell>
          <cell r="E11">
            <v>0.7416666666666667</v>
          </cell>
          <cell r="F11">
            <v>0.2583333333333333</v>
          </cell>
          <cell r="G11">
            <v>0</v>
          </cell>
          <cell r="H11">
            <v>0</v>
          </cell>
        </row>
        <row r="12">
          <cell r="B12">
            <v>9</v>
          </cell>
          <cell r="D12">
            <v>0</v>
          </cell>
          <cell r="E12">
            <v>0.78333333333333321</v>
          </cell>
          <cell r="F12">
            <v>0.21666666666666679</v>
          </cell>
          <cell r="G12">
            <v>0</v>
          </cell>
          <cell r="H12">
            <v>0</v>
          </cell>
        </row>
        <row r="13">
          <cell r="B13">
            <v>10</v>
          </cell>
          <cell r="D13">
            <v>0</v>
          </cell>
          <cell r="E13">
            <v>0.75</v>
          </cell>
          <cell r="F13">
            <v>0.25</v>
          </cell>
          <cell r="G13">
            <v>0</v>
          </cell>
          <cell r="H13">
            <v>0</v>
          </cell>
        </row>
        <row r="14">
          <cell r="B14">
            <v>11</v>
          </cell>
          <cell r="D14">
            <v>0</v>
          </cell>
          <cell r="E14">
            <v>0.76666666666666661</v>
          </cell>
          <cell r="F14">
            <v>0.23333333333333339</v>
          </cell>
          <cell r="G14">
            <v>0</v>
          </cell>
          <cell r="H14">
            <v>0</v>
          </cell>
        </row>
        <row r="15">
          <cell r="B15">
            <v>12</v>
          </cell>
          <cell r="D15">
            <v>0</v>
          </cell>
          <cell r="E15">
            <v>0.70000000000000007</v>
          </cell>
          <cell r="F15">
            <v>0.29999999999999993</v>
          </cell>
          <cell r="G15">
            <v>0</v>
          </cell>
          <cell r="H15">
            <v>0</v>
          </cell>
        </row>
        <row r="16">
          <cell r="B16">
            <v>13</v>
          </cell>
          <cell r="D16">
            <v>0</v>
          </cell>
          <cell r="E16">
            <v>0.76666666666666661</v>
          </cell>
          <cell r="F16">
            <v>0.23333333333333339</v>
          </cell>
          <cell r="G16">
            <v>0</v>
          </cell>
          <cell r="H16">
            <v>0</v>
          </cell>
        </row>
        <row r="17">
          <cell r="B17">
            <v>14</v>
          </cell>
          <cell r="D17">
            <v>0</v>
          </cell>
          <cell r="E17">
            <v>0.76666666666666661</v>
          </cell>
          <cell r="F17">
            <v>0.23333333333333339</v>
          </cell>
          <cell r="G17">
            <v>0</v>
          </cell>
          <cell r="H17">
            <v>0</v>
          </cell>
        </row>
        <row r="18">
          <cell r="B18">
            <v>15</v>
          </cell>
          <cell r="D18">
            <v>0</v>
          </cell>
          <cell r="E18">
            <v>0.66666666666666663</v>
          </cell>
          <cell r="F18">
            <v>0.33333333333333337</v>
          </cell>
          <cell r="G18">
            <v>0</v>
          </cell>
          <cell r="H18">
            <v>0</v>
          </cell>
        </row>
        <row r="19">
          <cell r="B19">
            <v>16</v>
          </cell>
          <cell r="D19">
            <v>0</v>
          </cell>
          <cell r="E19">
            <v>0.96666666666666667</v>
          </cell>
          <cell r="F19">
            <v>3.3333333333333326E-2</v>
          </cell>
          <cell r="G19">
            <v>0</v>
          </cell>
          <cell r="H19">
            <v>0</v>
          </cell>
        </row>
        <row r="20">
          <cell r="B20">
            <v>17</v>
          </cell>
          <cell r="D20">
            <v>0</v>
          </cell>
          <cell r="E20">
            <v>1</v>
          </cell>
          <cell r="F20">
            <v>0</v>
          </cell>
          <cell r="G20">
            <v>0</v>
          </cell>
          <cell r="H20">
            <v>0</v>
          </cell>
        </row>
        <row r="21">
          <cell r="B21">
            <v>18</v>
          </cell>
          <cell r="D21">
            <v>0</v>
          </cell>
          <cell r="E21">
            <v>1</v>
          </cell>
          <cell r="F21">
            <v>0</v>
          </cell>
          <cell r="G21">
            <v>0</v>
          </cell>
          <cell r="H21">
            <v>0</v>
          </cell>
        </row>
        <row r="22">
          <cell r="B22">
            <v>19</v>
          </cell>
          <cell r="D22">
            <v>0</v>
          </cell>
          <cell r="E22">
            <v>1</v>
          </cell>
          <cell r="F22">
            <v>0</v>
          </cell>
          <cell r="G22">
            <v>0</v>
          </cell>
          <cell r="H22">
            <v>0</v>
          </cell>
        </row>
        <row r="23">
          <cell r="B23">
            <v>20</v>
          </cell>
          <cell r="D23">
            <v>0</v>
          </cell>
          <cell r="E23">
            <v>0.65</v>
          </cell>
          <cell r="F23">
            <v>0.35</v>
          </cell>
          <cell r="G23">
            <v>0</v>
          </cell>
          <cell r="H23">
            <v>0</v>
          </cell>
        </row>
        <row r="24">
          <cell r="B24">
            <v>21</v>
          </cell>
          <cell r="D24">
            <v>0</v>
          </cell>
          <cell r="E24">
            <v>0.76666666666666661</v>
          </cell>
          <cell r="F24">
            <v>0.23333333333333339</v>
          </cell>
          <cell r="G24">
            <v>0</v>
          </cell>
          <cell r="H24">
            <v>0</v>
          </cell>
        </row>
        <row r="25">
          <cell r="B25">
            <v>22</v>
          </cell>
          <cell r="D25">
            <v>0</v>
          </cell>
          <cell r="E25">
            <v>1</v>
          </cell>
          <cell r="F25">
            <v>0</v>
          </cell>
          <cell r="G25">
            <v>0</v>
          </cell>
          <cell r="H25">
            <v>0</v>
          </cell>
        </row>
        <row r="26">
          <cell r="B26">
            <v>23</v>
          </cell>
          <cell r="D26">
            <v>0</v>
          </cell>
          <cell r="E26">
            <v>0.93333333333333324</v>
          </cell>
          <cell r="F26">
            <v>6.6666666666666763E-2</v>
          </cell>
          <cell r="G26">
            <v>0</v>
          </cell>
          <cell r="H26">
            <v>0</v>
          </cell>
        </row>
        <row r="27">
          <cell r="B27">
            <v>24</v>
          </cell>
          <cell r="D27">
            <v>0</v>
          </cell>
          <cell r="E27">
            <v>0.75</v>
          </cell>
          <cell r="F27">
            <v>0.25</v>
          </cell>
          <cell r="G27">
            <v>0</v>
          </cell>
          <cell r="H27">
            <v>0</v>
          </cell>
        </row>
        <row r="28">
          <cell r="B28">
            <v>25</v>
          </cell>
          <cell r="D28">
            <v>0</v>
          </cell>
          <cell r="E28">
            <v>0.58333333333333337</v>
          </cell>
          <cell r="F28">
            <v>0.41666666666666663</v>
          </cell>
          <cell r="G28">
            <v>0</v>
          </cell>
          <cell r="H28">
            <v>0</v>
          </cell>
        </row>
        <row r="29">
          <cell r="B29">
            <v>26</v>
          </cell>
          <cell r="D29">
            <v>0</v>
          </cell>
          <cell r="E29">
            <v>0.51666666666666672</v>
          </cell>
          <cell r="F29">
            <v>0.48333333333333328</v>
          </cell>
          <cell r="G29">
            <v>0</v>
          </cell>
          <cell r="H29">
            <v>0</v>
          </cell>
        </row>
        <row r="30">
          <cell r="B30">
            <v>27</v>
          </cell>
          <cell r="D30">
            <v>0</v>
          </cell>
          <cell r="E30">
            <v>0.5</v>
          </cell>
          <cell r="F30">
            <v>0.5</v>
          </cell>
          <cell r="G30">
            <v>0</v>
          </cell>
          <cell r="H30">
            <v>0</v>
          </cell>
        </row>
        <row r="31">
          <cell r="B31">
            <v>28</v>
          </cell>
          <cell r="D31">
            <v>0</v>
          </cell>
          <cell r="E31">
            <v>0.69999999999999984</v>
          </cell>
          <cell r="F31">
            <v>0.30000000000000016</v>
          </cell>
          <cell r="G31">
            <v>0</v>
          </cell>
          <cell r="H31">
            <v>0</v>
          </cell>
        </row>
        <row r="32">
          <cell r="B32">
            <v>29</v>
          </cell>
          <cell r="D32">
            <v>0</v>
          </cell>
          <cell r="E32">
            <v>0.6</v>
          </cell>
          <cell r="F32">
            <v>0.4</v>
          </cell>
          <cell r="G32">
            <v>0</v>
          </cell>
          <cell r="H32">
            <v>0</v>
          </cell>
        </row>
        <row r="33">
          <cell r="B33">
            <v>30</v>
          </cell>
          <cell r="D33">
            <v>0</v>
          </cell>
          <cell r="E33">
            <v>0.6</v>
          </cell>
          <cell r="F33">
            <v>0.4</v>
          </cell>
          <cell r="G33">
            <v>0</v>
          </cell>
          <cell r="H33">
            <v>0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ATU"/>
      <sheetName val="Coal Blend"/>
      <sheetName val="Resume Coal Blend"/>
      <sheetName val="Estimasi NPHR"/>
      <sheetName val="UNIT 1"/>
      <sheetName val="UNIT 2"/>
      <sheetName val="UNIT 3"/>
      <sheetName val="COAL BLENDING MARET 2020"/>
      <sheetName val="INPUT DATA"/>
      <sheetName val="kWh Gross"/>
      <sheetName val="MaxMin"/>
    </sheetNames>
    <sheetDataSet>
      <sheetData sheetId="0"/>
      <sheetData sheetId="1">
        <row r="7">
          <cell r="BV7">
            <v>0.6</v>
          </cell>
        </row>
        <row r="23">
          <cell r="BV23">
            <v>0.73333333333333339</v>
          </cell>
        </row>
        <row r="39">
          <cell r="BV39">
            <v>0.75</v>
          </cell>
        </row>
        <row r="55">
          <cell r="BV55">
            <v>0.66666666666666663</v>
          </cell>
        </row>
        <row r="71">
          <cell r="BV71">
            <v>0.95000000000000007</v>
          </cell>
        </row>
        <row r="87">
          <cell r="BV87">
            <v>0.94999999999999984</v>
          </cell>
        </row>
        <row r="103">
          <cell r="BV103">
            <v>0.98333333333333339</v>
          </cell>
        </row>
        <row r="119">
          <cell r="BV119">
            <v>1</v>
          </cell>
        </row>
        <row r="135">
          <cell r="BV135">
            <v>0.84444444444444444</v>
          </cell>
        </row>
        <row r="151">
          <cell r="BV151">
            <v>0.71666666666666667</v>
          </cell>
        </row>
        <row r="167">
          <cell r="BV167">
            <v>0.8666666666666667</v>
          </cell>
        </row>
        <row r="183">
          <cell r="BV183">
            <v>0.79999999999999993</v>
          </cell>
        </row>
        <row r="199">
          <cell r="BV199">
            <v>0.53333333333333333</v>
          </cell>
        </row>
        <row r="215">
          <cell r="BV215">
            <v>0.58333333333333337</v>
          </cell>
        </row>
        <row r="231">
          <cell r="BV231">
            <v>0.53333333333333333</v>
          </cell>
        </row>
        <row r="247">
          <cell r="BV247">
            <v>0.65</v>
          </cell>
        </row>
        <row r="263">
          <cell r="BV263">
            <v>0.5</v>
          </cell>
        </row>
        <row r="279">
          <cell r="BV279">
            <v>0.76666666666666661</v>
          </cell>
        </row>
        <row r="295">
          <cell r="BV295">
            <v>0.6</v>
          </cell>
        </row>
        <row r="311">
          <cell r="BV311">
            <v>0.83333333333333337</v>
          </cell>
        </row>
        <row r="327">
          <cell r="BV327">
            <v>0.63333333333333341</v>
          </cell>
        </row>
        <row r="343">
          <cell r="BV343">
            <v>0.6</v>
          </cell>
        </row>
        <row r="359">
          <cell r="BV359">
            <v>0.6</v>
          </cell>
        </row>
        <row r="375">
          <cell r="BV375">
            <v>0.66666666666666663</v>
          </cell>
        </row>
        <row r="391">
          <cell r="BV391">
            <v>0.68333333333333324</v>
          </cell>
        </row>
        <row r="407">
          <cell r="BV407">
            <v>0.6</v>
          </cell>
        </row>
        <row r="423">
          <cell r="BV423">
            <v>0.6</v>
          </cell>
        </row>
        <row r="439">
          <cell r="BV439">
            <v>0.56666666666666665</v>
          </cell>
        </row>
        <row r="455">
          <cell r="BV455">
            <v>0</v>
          </cell>
        </row>
        <row r="471">
          <cell r="BV471">
            <v>0</v>
          </cell>
        </row>
      </sheetData>
      <sheetData sheetId="2"/>
      <sheetData sheetId="3">
        <row r="4">
          <cell r="C4">
            <v>4343.4722730300336</v>
          </cell>
          <cell r="D4">
            <v>0</v>
          </cell>
        </row>
        <row r="5">
          <cell r="C5">
            <v>4421.5252312599687</v>
          </cell>
          <cell r="D5">
            <v>0</v>
          </cell>
        </row>
        <row r="6">
          <cell r="C6">
            <v>3798.4915480592231</v>
          </cell>
          <cell r="D6">
            <v>0</v>
          </cell>
        </row>
        <row r="7">
          <cell r="C7">
            <v>4414.5210895522387</v>
          </cell>
          <cell r="D7">
            <v>0</v>
          </cell>
        </row>
        <row r="8">
          <cell r="C8">
            <v>4544.8011358024696</v>
          </cell>
          <cell r="D8">
            <v>0</v>
          </cell>
        </row>
        <row r="9">
          <cell r="C9">
            <v>4411.7663643235073</v>
          </cell>
          <cell r="D9">
            <v>0</v>
          </cell>
        </row>
        <row r="10">
          <cell r="C10">
            <v>4463.6129440000004</v>
          </cell>
          <cell r="D10">
            <v>0</v>
          </cell>
        </row>
        <row r="11">
          <cell r="C11">
            <v>4464.5633333333326</v>
          </cell>
          <cell r="D11">
            <v>0</v>
          </cell>
        </row>
        <row r="12">
          <cell r="C12">
            <v>4421.9460093896714</v>
          </cell>
          <cell r="D12">
            <v>0</v>
          </cell>
        </row>
        <row r="13">
          <cell r="C13">
            <v>4439.2463042853042</v>
          </cell>
          <cell r="D13">
            <v>0</v>
          </cell>
        </row>
        <row r="14">
          <cell r="C14">
            <v>4440.5691102756891</v>
          </cell>
          <cell r="D14">
            <v>0</v>
          </cell>
        </row>
        <row r="15">
          <cell r="C15">
            <v>4428.0980392156862</v>
          </cell>
          <cell r="D15">
            <v>0</v>
          </cell>
        </row>
        <row r="16">
          <cell r="C16">
            <v>4284</v>
          </cell>
          <cell r="D16">
            <v>0</v>
          </cell>
        </row>
        <row r="17">
          <cell r="C17">
            <v>4277.3504979769687</v>
          </cell>
          <cell r="D17">
            <v>0</v>
          </cell>
        </row>
        <row r="18">
          <cell r="C18">
            <v>4253.6325621712103</v>
          </cell>
          <cell r="D18">
            <v>0</v>
          </cell>
        </row>
        <row r="19">
          <cell r="C19">
            <v>4302.12</v>
          </cell>
          <cell r="D19">
            <v>0</v>
          </cell>
        </row>
        <row r="20">
          <cell r="C20">
            <v>4318.5089026915111</v>
          </cell>
          <cell r="D20">
            <v>0</v>
          </cell>
        </row>
        <row r="21">
          <cell r="C21">
            <v>4343.7997777777782</v>
          </cell>
          <cell r="D21">
            <v>0</v>
          </cell>
        </row>
        <row r="22">
          <cell r="C22">
            <v>4447.1533333333327</v>
          </cell>
          <cell r="D22">
            <v>0</v>
          </cell>
        </row>
        <row r="23">
          <cell r="C23">
            <v>4572</v>
          </cell>
          <cell r="D23">
            <v>0</v>
          </cell>
        </row>
        <row r="24">
          <cell r="C24">
            <v>4422.7451496030444</v>
          </cell>
          <cell r="D24">
            <v>0</v>
          </cell>
        </row>
        <row r="25">
          <cell r="C25">
            <v>4388.7333333333336</v>
          </cell>
          <cell r="D25">
            <v>0</v>
          </cell>
        </row>
        <row r="26">
          <cell r="C26">
            <v>3466.4166666666665</v>
          </cell>
          <cell r="D26">
            <v>0</v>
          </cell>
        </row>
        <row r="27">
          <cell r="C27">
            <v>2840.5034632034635</v>
          </cell>
          <cell r="D27">
            <v>0</v>
          </cell>
        </row>
        <row r="28">
          <cell r="C28">
            <v>2545.6268055555561</v>
          </cell>
          <cell r="D28">
            <v>0</v>
          </cell>
        </row>
        <row r="29">
          <cell r="C29">
            <v>4314.2000000000007</v>
          </cell>
          <cell r="D29">
            <v>0</v>
          </cell>
        </row>
        <row r="30">
          <cell r="C30">
            <v>4399.22</v>
          </cell>
          <cell r="D30">
            <v>0</v>
          </cell>
        </row>
        <row r="31">
          <cell r="C31">
            <v>4352.4651411657551</v>
          </cell>
          <cell r="D31">
            <v>0</v>
          </cell>
        </row>
        <row r="32">
          <cell r="C32" t="str">
            <v>0</v>
          </cell>
          <cell r="D32">
            <v>0</v>
          </cell>
        </row>
        <row r="33">
          <cell r="C33" t="str">
            <v>0</v>
          </cell>
          <cell r="D33">
            <v>0</v>
          </cell>
        </row>
      </sheetData>
      <sheetData sheetId="4">
        <row r="4">
          <cell r="B4">
            <v>1</v>
          </cell>
          <cell r="D4">
            <v>0</v>
          </cell>
          <cell r="E4">
            <v>0.6</v>
          </cell>
          <cell r="F4">
            <v>0.4</v>
          </cell>
          <cell r="G4">
            <v>0</v>
          </cell>
          <cell r="H4">
            <v>0</v>
          </cell>
        </row>
        <row r="5">
          <cell r="B5">
            <v>2</v>
          </cell>
          <cell r="D5">
            <v>0</v>
          </cell>
          <cell r="E5">
            <v>0.73333333333333339</v>
          </cell>
          <cell r="F5">
            <v>0.26666666666666661</v>
          </cell>
          <cell r="G5">
            <v>0</v>
          </cell>
          <cell r="H5">
            <v>0</v>
          </cell>
        </row>
        <row r="6">
          <cell r="B6">
            <v>3</v>
          </cell>
          <cell r="D6">
            <v>0</v>
          </cell>
          <cell r="E6">
            <v>0.75</v>
          </cell>
          <cell r="F6">
            <v>0.25</v>
          </cell>
          <cell r="G6">
            <v>0</v>
          </cell>
          <cell r="H6">
            <v>0</v>
          </cell>
        </row>
        <row r="7">
          <cell r="B7">
            <v>4</v>
          </cell>
          <cell r="D7">
            <v>0</v>
          </cell>
          <cell r="E7">
            <v>0.66666666666666663</v>
          </cell>
          <cell r="F7">
            <v>0.33333333333333337</v>
          </cell>
          <cell r="G7">
            <v>0</v>
          </cell>
          <cell r="H7">
            <v>0</v>
          </cell>
        </row>
        <row r="8">
          <cell r="B8">
            <v>5</v>
          </cell>
          <cell r="D8">
            <v>0</v>
          </cell>
          <cell r="E8">
            <v>0.95000000000000007</v>
          </cell>
          <cell r="F8">
            <v>4.9999999999999933E-2</v>
          </cell>
          <cell r="G8">
            <v>0</v>
          </cell>
          <cell r="H8">
            <v>0</v>
          </cell>
        </row>
        <row r="9">
          <cell r="B9">
            <v>6</v>
          </cell>
          <cell r="D9">
            <v>0</v>
          </cell>
          <cell r="E9">
            <v>0.94999999999999984</v>
          </cell>
          <cell r="F9">
            <v>5.0000000000000155E-2</v>
          </cell>
          <cell r="G9">
            <v>0</v>
          </cell>
          <cell r="H9">
            <v>0</v>
          </cell>
        </row>
        <row r="10">
          <cell r="B10">
            <v>7</v>
          </cell>
          <cell r="D10">
            <v>0</v>
          </cell>
          <cell r="E10">
            <v>0.98333333333333339</v>
          </cell>
          <cell r="F10">
            <v>1.6666666666666607E-2</v>
          </cell>
          <cell r="G10">
            <v>0</v>
          </cell>
          <cell r="H10">
            <v>0</v>
          </cell>
        </row>
        <row r="11">
          <cell r="B11">
            <v>8</v>
          </cell>
          <cell r="D11">
            <v>0</v>
          </cell>
          <cell r="E11">
            <v>1</v>
          </cell>
          <cell r="F11">
            <v>0</v>
          </cell>
          <cell r="G11">
            <v>0</v>
          </cell>
          <cell r="H11">
            <v>0</v>
          </cell>
        </row>
        <row r="12">
          <cell r="B12">
            <v>9</v>
          </cell>
          <cell r="D12">
            <v>0</v>
          </cell>
          <cell r="E12">
            <v>0.84444444444444444</v>
          </cell>
          <cell r="F12">
            <v>0.15555555555555556</v>
          </cell>
          <cell r="G12">
            <v>0</v>
          </cell>
          <cell r="H12">
            <v>0</v>
          </cell>
        </row>
        <row r="13">
          <cell r="B13">
            <v>10</v>
          </cell>
          <cell r="D13">
            <v>0</v>
          </cell>
          <cell r="E13">
            <v>0.71666666666666667</v>
          </cell>
          <cell r="F13">
            <v>0.28333333333333333</v>
          </cell>
          <cell r="G13">
            <v>0</v>
          </cell>
          <cell r="H13">
            <v>0</v>
          </cell>
        </row>
        <row r="14">
          <cell r="B14">
            <v>11</v>
          </cell>
          <cell r="D14">
            <v>0</v>
          </cell>
          <cell r="E14">
            <v>0.8666666666666667</v>
          </cell>
          <cell r="F14">
            <v>0.1333333333333333</v>
          </cell>
          <cell r="G14">
            <v>0</v>
          </cell>
          <cell r="H14">
            <v>0</v>
          </cell>
        </row>
        <row r="15">
          <cell r="B15">
            <v>12</v>
          </cell>
          <cell r="D15">
            <v>0</v>
          </cell>
          <cell r="E15">
            <v>0.79999999999999993</v>
          </cell>
          <cell r="F15">
            <v>0.20000000000000007</v>
          </cell>
          <cell r="G15">
            <v>0</v>
          </cell>
          <cell r="H15">
            <v>0</v>
          </cell>
        </row>
        <row r="16">
          <cell r="B16">
            <v>13</v>
          </cell>
          <cell r="D16">
            <v>0</v>
          </cell>
          <cell r="E16">
            <v>0.53333333333333333</v>
          </cell>
          <cell r="F16">
            <v>0.46666666666666667</v>
          </cell>
          <cell r="G16">
            <v>0</v>
          </cell>
          <cell r="H16">
            <v>0</v>
          </cell>
        </row>
        <row r="17">
          <cell r="B17">
            <v>14</v>
          </cell>
          <cell r="D17">
            <v>0</v>
          </cell>
          <cell r="E17">
            <v>0.58333333333333337</v>
          </cell>
          <cell r="F17">
            <v>0.41666666666666663</v>
          </cell>
          <cell r="G17">
            <v>0</v>
          </cell>
          <cell r="H17">
            <v>0</v>
          </cell>
        </row>
        <row r="18">
          <cell r="B18">
            <v>15</v>
          </cell>
          <cell r="D18">
            <v>0</v>
          </cell>
          <cell r="E18">
            <v>0.53333333333333333</v>
          </cell>
          <cell r="F18">
            <v>0.46666666666666667</v>
          </cell>
          <cell r="G18">
            <v>0</v>
          </cell>
          <cell r="H18">
            <v>0</v>
          </cell>
        </row>
        <row r="19">
          <cell r="B19">
            <v>16</v>
          </cell>
          <cell r="D19">
            <v>0</v>
          </cell>
          <cell r="E19">
            <v>0.65</v>
          </cell>
          <cell r="F19">
            <v>0.35</v>
          </cell>
          <cell r="G19">
            <v>0</v>
          </cell>
          <cell r="H19">
            <v>0</v>
          </cell>
        </row>
        <row r="20">
          <cell r="B20">
            <v>17</v>
          </cell>
          <cell r="D20">
            <v>0</v>
          </cell>
          <cell r="E20">
            <v>0.5</v>
          </cell>
          <cell r="F20">
            <v>0.5</v>
          </cell>
          <cell r="G20">
            <v>0</v>
          </cell>
          <cell r="H20">
            <v>0</v>
          </cell>
        </row>
        <row r="21">
          <cell r="B21">
            <v>18</v>
          </cell>
          <cell r="D21">
            <v>0</v>
          </cell>
          <cell r="E21">
            <v>0.76666666666666661</v>
          </cell>
          <cell r="F21">
            <v>0.23333333333333339</v>
          </cell>
          <cell r="G21">
            <v>0</v>
          </cell>
          <cell r="H21">
            <v>0</v>
          </cell>
        </row>
        <row r="22">
          <cell r="B22">
            <v>19</v>
          </cell>
          <cell r="D22">
            <v>0</v>
          </cell>
          <cell r="E22">
            <v>0.6</v>
          </cell>
          <cell r="F22">
            <v>0.4</v>
          </cell>
          <cell r="G22">
            <v>0</v>
          </cell>
          <cell r="H22">
            <v>0</v>
          </cell>
        </row>
        <row r="23">
          <cell r="B23">
            <v>20</v>
          </cell>
          <cell r="D23">
            <v>0</v>
          </cell>
          <cell r="E23">
            <v>0.83333333333333337</v>
          </cell>
          <cell r="F23">
            <v>0.16666666666666663</v>
          </cell>
          <cell r="G23">
            <v>0</v>
          </cell>
          <cell r="H23">
            <v>0</v>
          </cell>
        </row>
        <row r="24">
          <cell r="B24">
            <v>21</v>
          </cell>
          <cell r="D24">
            <v>0</v>
          </cell>
          <cell r="E24">
            <v>0.63333333333333341</v>
          </cell>
          <cell r="F24">
            <v>0.36666666666666659</v>
          </cell>
          <cell r="G24">
            <v>0</v>
          </cell>
          <cell r="H24">
            <v>0</v>
          </cell>
        </row>
        <row r="25">
          <cell r="B25">
            <v>22</v>
          </cell>
          <cell r="D25">
            <v>0</v>
          </cell>
          <cell r="E25">
            <v>0.6</v>
          </cell>
          <cell r="F25">
            <v>0.4</v>
          </cell>
          <cell r="G25">
            <v>0</v>
          </cell>
          <cell r="H25">
            <v>0</v>
          </cell>
        </row>
        <row r="26">
          <cell r="B26">
            <v>23</v>
          </cell>
          <cell r="D26">
            <v>0</v>
          </cell>
          <cell r="E26">
            <v>0.6</v>
          </cell>
          <cell r="F26">
            <v>0.4</v>
          </cell>
          <cell r="G26">
            <v>0</v>
          </cell>
          <cell r="H26">
            <v>0</v>
          </cell>
        </row>
        <row r="27">
          <cell r="B27">
            <v>24</v>
          </cell>
          <cell r="D27">
            <v>0</v>
          </cell>
          <cell r="E27">
            <v>0.66666666666666663</v>
          </cell>
          <cell r="F27">
            <v>0.33333333333333337</v>
          </cell>
          <cell r="G27">
            <v>0</v>
          </cell>
          <cell r="H27">
            <v>0</v>
          </cell>
        </row>
        <row r="28">
          <cell r="B28">
            <v>25</v>
          </cell>
          <cell r="D28">
            <v>0</v>
          </cell>
          <cell r="E28">
            <v>0.68333333333333324</v>
          </cell>
          <cell r="F28">
            <v>0.31666666666666676</v>
          </cell>
          <cell r="G28">
            <v>0</v>
          </cell>
          <cell r="H28">
            <v>0</v>
          </cell>
        </row>
        <row r="29">
          <cell r="B29">
            <v>26</v>
          </cell>
          <cell r="D29">
            <v>0</v>
          </cell>
          <cell r="E29">
            <v>0.6</v>
          </cell>
          <cell r="F29">
            <v>0.4</v>
          </cell>
          <cell r="G29">
            <v>0</v>
          </cell>
          <cell r="H29">
            <v>0</v>
          </cell>
        </row>
        <row r="30">
          <cell r="B30">
            <v>27</v>
          </cell>
          <cell r="D30">
            <v>0</v>
          </cell>
          <cell r="E30">
            <v>0.6</v>
          </cell>
          <cell r="F30">
            <v>0.4</v>
          </cell>
          <cell r="G30">
            <v>0</v>
          </cell>
          <cell r="H30">
            <v>0</v>
          </cell>
        </row>
        <row r="31">
          <cell r="B31">
            <v>28</v>
          </cell>
          <cell r="D31">
            <v>0</v>
          </cell>
          <cell r="E31">
            <v>0.56666666666666665</v>
          </cell>
          <cell r="F31">
            <v>0.43333333333333335</v>
          </cell>
          <cell r="G31">
            <v>0</v>
          </cell>
          <cell r="H31">
            <v>0</v>
          </cell>
        </row>
        <row r="32">
          <cell r="B32">
            <v>29</v>
          </cell>
          <cell r="D32">
            <v>0</v>
          </cell>
          <cell r="E32">
            <v>0</v>
          </cell>
          <cell r="F32">
            <v>1</v>
          </cell>
          <cell r="G32">
            <v>0</v>
          </cell>
          <cell r="H32">
            <v>0</v>
          </cell>
        </row>
        <row r="33">
          <cell r="B33">
            <v>30</v>
          </cell>
          <cell r="D33">
            <v>0</v>
          </cell>
          <cell r="E33">
            <v>0</v>
          </cell>
          <cell r="F33">
            <v>1</v>
          </cell>
          <cell r="G33">
            <v>0</v>
          </cell>
          <cell r="H33">
            <v>0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ATU"/>
      <sheetName val="Coal Blend"/>
      <sheetName val="Resume Coal Blend"/>
      <sheetName val="Estimasi NPHR"/>
      <sheetName val="UNIT 1"/>
      <sheetName val="UNIT 2"/>
      <sheetName val="UNIT 3"/>
      <sheetName val="COAL BLENDING MARET 2020"/>
      <sheetName val="INPUT DATA"/>
      <sheetName val="kWh Gross"/>
      <sheetName val="MaxMin"/>
    </sheetNames>
    <sheetDataSet>
      <sheetData sheetId="0"/>
      <sheetData sheetId="1">
        <row r="7">
          <cell r="BV7">
            <v>0.71666666666666667</v>
          </cell>
        </row>
        <row r="23">
          <cell r="BV23">
            <v>0.98333333333333339</v>
          </cell>
        </row>
        <row r="39">
          <cell r="BV39">
            <v>0.5</v>
          </cell>
        </row>
        <row r="55">
          <cell r="BV55">
            <v>0.33333333333333331</v>
          </cell>
        </row>
        <row r="71">
          <cell r="BV71">
            <v>0.43333333333333335</v>
          </cell>
        </row>
        <row r="87">
          <cell r="BV87">
            <v>0.25</v>
          </cell>
        </row>
        <row r="103">
          <cell r="BV103">
            <v>8.3333333333333329E-2</v>
          </cell>
        </row>
        <row r="119">
          <cell r="BV119">
            <v>0.96666666666666667</v>
          </cell>
        </row>
        <row r="135">
          <cell r="BV135">
            <v>0.66666666666666663</v>
          </cell>
        </row>
        <row r="151">
          <cell r="BV151">
            <v>0.68333333333333324</v>
          </cell>
        </row>
        <row r="167">
          <cell r="BV167">
            <v>0.9</v>
          </cell>
        </row>
        <row r="183">
          <cell r="BV183">
            <v>0.43333333333333335</v>
          </cell>
        </row>
        <row r="199">
          <cell r="BV199">
            <v>0.41666666666666669</v>
          </cell>
        </row>
        <row r="215">
          <cell r="BV215">
            <v>0.5</v>
          </cell>
        </row>
        <row r="231">
          <cell r="BV231">
            <v>0.20000000000000004</v>
          </cell>
        </row>
        <row r="247">
          <cell r="BV247">
            <v>0.23333333333333331</v>
          </cell>
        </row>
        <row r="263">
          <cell r="BV263">
            <v>0.6333333333333333</v>
          </cell>
        </row>
        <row r="279">
          <cell r="BV279">
            <v>0.91666666666666663</v>
          </cell>
        </row>
        <row r="295">
          <cell r="BV295">
            <v>0.91666666666666663</v>
          </cell>
        </row>
        <row r="311">
          <cell r="BV311">
            <v>0.43333333333333335</v>
          </cell>
        </row>
        <row r="327">
          <cell r="BV327">
            <v>0.6333333333333333</v>
          </cell>
        </row>
        <row r="343">
          <cell r="BV343">
            <v>0.43333333333333335</v>
          </cell>
        </row>
        <row r="359">
          <cell r="BV359">
            <v>0.32777777777777778</v>
          </cell>
        </row>
        <row r="375">
          <cell r="BV375">
            <v>0.46666666666666662</v>
          </cell>
        </row>
        <row r="391">
          <cell r="BV391">
            <v>0.54999999999999993</v>
          </cell>
        </row>
        <row r="407">
          <cell r="BV407">
            <v>0.64166666666666661</v>
          </cell>
        </row>
        <row r="423">
          <cell r="BV423">
            <v>0.58333333333333337</v>
          </cell>
        </row>
        <row r="439">
          <cell r="BV439">
            <v>0.46666666666666673</v>
          </cell>
        </row>
        <row r="455">
          <cell r="BV455">
            <v>0.23333333333333331</v>
          </cell>
        </row>
        <row r="471">
          <cell r="BV471">
            <v>0.25</v>
          </cell>
        </row>
      </sheetData>
      <sheetData sheetId="2"/>
      <sheetData sheetId="3">
        <row r="4">
          <cell r="C4">
            <v>4433.3085634408608</v>
          </cell>
          <cell r="D4">
            <v>0</v>
          </cell>
        </row>
        <row r="5">
          <cell r="C5">
            <v>4382.0371047619046</v>
          </cell>
          <cell r="D5">
            <v>0</v>
          </cell>
        </row>
        <row r="6">
          <cell r="C6">
            <v>4417.7657435897427</v>
          </cell>
          <cell r="D6">
            <v>0</v>
          </cell>
        </row>
        <row r="7">
          <cell r="C7">
            <v>4207.1463589743589</v>
          </cell>
          <cell r="D7">
            <v>0</v>
          </cell>
        </row>
        <row r="8">
          <cell r="C8">
            <v>4297.952242926156</v>
          </cell>
          <cell r="D8">
            <v>0</v>
          </cell>
        </row>
        <row r="9">
          <cell r="C9">
            <v>4173.0229144289297</v>
          </cell>
          <cell r="D9">
            <v>0</v>
          </cell>
        </row>
        <row r="10">
          <cell r="C10">
            <v>3967.678231292517</v>
          </cell>
          <cell r="D10">
            <v>0</v>
          </cell>
        </row>
        <row r="11">
          <cell r="C11">
            <v>4463.0904761904758</v>
          </cell>
          <cell r="D11">
            <v>0</v>
          </cell>
        </row>
        <row r="12">
          <cell r="C12">
            <v>4366.6115773115771</v>
          </cell>
          <cell r="D12">
            <v>0</v>
          </cell>
        </row>
        <row r="13">
          <cell r="C13">
            <v>4350.2451585687377</v>
          </cell>
          <cell r="D13">
            <v>0</v>
          </cell>
        </row>
        <row r="14">
          <cell r="C14">
            <v>4397.6401253757731</v>
          </cell>
          <cell r="D14">
            <v>0</v>
          </cell>
        </row>
        <row r="15">
          <cell r="C15">
            <v>4219.8780998389702</v>
          </cell>
          <cell r="D15">
            <v>0</v>
          </cell>
        </row>
        <row r="16">
          <cell r="C16">
            <v>4246.2974583130963</v>
          </cell>
          <cell r="D16">
            <v>0</v>
          </cell>
        </row>
        <row r="17">
          <cell r="C17">
            <v>4241.1972176851596</v>
          </cell>
          <cell r="D17">
            <v>0</v>
          </cell>
        </row>
        <row r="18">
          <cell r="C18">
            <v>4159.1771428571419</v>
          </cell>
          <cell r="D18">
            <v>0</v>
          </cell>
        </row>
        <row r="19">
          <cell r="C19">
            <v>4220.6477576008592</v>
          </cell>
          <cell r="D19">
            <v>0</v>
          </cell>
        </row>
        <row r="20">
          <cell r="C20">
            <v>4409.8650666666663</v>
          </cell>
          <cell r="D20">
            <v>0</v>
          </cell>
        </row>
        <row r="21">
          <cell r="C21">
            <v>4477.5141666666668</v>
          </cell>
          <cell r="D21">
            <v>0</v>
          </cell>
        </row>
        <row r="22">
          <cell r="C22">
            <v>4503.4333333333334</v>
          </cell>
          <cell r="D22">
            <v>0</v>
          </cell>
        </row>
        <row r="23">
          <cell r="C23">
            <v>4311.7120300751876</v>
          </cell>
          <cell r="D23">
            <v>0</v>
          </cell>
        </row>
        <row r="24">
          <cell r="C24">
            <v>4489.6489577245275</v>
          </cell>
          <cell r="D24">
            <v>0</v>
          </cell>
        </row>
        <row r="25">
          <cell r="C25">
            <v>4399.76156470152</v>
          </cell>
          <cell r="D25">
            <v>0</v>
          </cell>
        </row>
        <row r="26">
          <cell r="C26">
            <v>4377.0959954400359</v>
          </cell>
          <cell r="D26">
            <v>0</v>
          </cell>
        </row>
        <row r="27">
          <cell r="C27">
            <v>4277.2503846153841</v>
          </cell>
          <cell r="D27">
            <v>0</v>
          </cell>
        </row>
        <row r="28">
          <cell r="C28">
            <v>4320.6872985638702</v>
          </cell>
          <cell r="D28">
            <v>0</v>
          </cell>
        </row>
        <row r="29">
          <cell r="C29">
            <v>4326.0008148822344</v>
          </cell>
          <cell r="D29">
            <v>0</v>
          </cell>
        </row>
        <row r="30">
          <cell r="C30">
            <v>4363.3949404761906</v>
          </cell>
          <cell r="D30">
            <v>0</v>
          </cell>
        </row>
        <row r="31">
          <cell r="C31">
            <v>4466.764786645469</v>
          </cell>
          <cell r="D31">
            <v>0</v>
          </cell>
        </row>
        <row r="32">
          <cell r="C32">
            <v>4275.1705775335777</v>
          </cell>
          <cell r="D32">
            <v>0</v>
          </cell>
        </row>
        <row r="33">
          <cell r="C33">
            <v>4207.8360172390567</v>
          </cell>
          <cell r="D33">
            <v>0</v>
          </cell>
        </row>
      </sheetData>
      <sheetData sheetId="4">
        <row r="4">
          <cell r="B4">
            <v>1</v>
          </cell>
          <cell r="D4">
            <v>0</v>
          </cell>
          <cell r="E4">
            <v>0.71666666666666667</v>
          </cell>
          <cell r="F4">
            <v>0.28333333333333333</v>
          </cell>
          <cell r="G4">
            <v>0</v>
          </cell>
          <cell r="H4">
            <v>0</v>
          </cell>
        </row>
        <row r="5">
          <cell r="B5">
            <v>2</v>
          </cell>
          <cell r="D5">
            <v>0</v>
          </cell>
          <cell r="E5">
            <v>0.98333333333333339</v>
          </cell>
          <cell r="F5">
            <v>1.6666666666666607E-2</v>
          </cell>
          <cell r="G5">
            <v>0</v>
          </cell>
          <cell r="H5">
            <v>0</v>
          </cell>
        </row>
        <row r="6">
          <cell r="B6">
            <v>3</v>
          </cell>
          <cell r="D6">
            <v>0</v>
          </cell>
          <cell r="E6">
            <v>0.5</v>
          </cell>
          <cell r="F6">
            <v>0.5</v>
          </cell>
          <cell r="G6">
            <v>0</v>
          </cell>
          <cell r="H6">
            <v>0</v>
          </cell>
        </row>
        <row r="7">
          <cell r="B7">
            <v>4</v>
          </cell>
          <cell r="D7">
            <v>0</v>
          </cell>
          <cell r="E7">
            <v>0.33333333333333331</v>
          </cell>
          <cell r="F7">
            <v>0.66666666666666674</v>
          </cell>
          <cell r="G7">
            <v>0</v>
          </cell>
          <cell r="H7">
            <v>0</v>
          </cell>
        </row>
        <row r="8">
          <cell r="B8">
            <v>5</v>
          </cell>
          <cell r="D8">
            <v>0</v>
          </cell>
          <cell r="E8">
            <v>0.43333333333333335</v>
          </cell>
          <cell r="F8">
            <v>0.56666666666666665</v>
          </cell>
          <cell r="G8">
            <v>0</v>
          </cell>
          <cell r="H8">
            <v>0</v>
          </cell>
        </row>
        <row r="9">
          <cell r="B9">
            <v>6</v>
          </cell>
          <cell r="D9">
            <v>0</v>
          </cell>
          <cell r="E9">
            <v>0.25</v>
          </cell>
          <cell r="F9">
            <v>0.75</v>
          </cell>
          <cell r="G9">
            <v>0</v>
          </cell>
          <cell r="H9">
            <v>0</v>
          </cell>
        </row>
        <row r="10">
          <cell r="B10">
            <v>7</v>
          </cell>
          <cell r="D10">
            <v>0</v>
          </cell>
          <cell r="E10">
            <v>8.3333333333333329E-2</v>
          </cell>
          <cell r="F10">
            <v>0.91666666666666663</v>
          </cell>
          <cell r="G10">
            <v>0</v>
          </cell>
          <cell r="H10">
            <v>0</v>
          </cell>
        </row>
        <row r="11">
          <cell r="B11">
            <v>8</v>
          </cell>
          <cell r="D11">
            <v>0</v>
          </cell>
          <cell r="E11">
            <v>0.96666666666666667</v>
          </cell>
          <cell r="F11">
            <v>3.3333333333333326E-2</v>
          </cell>
          <cell r="G11">
            <v>0</v>
          </cell>
          <cell r="H11">
            <v>0</v>
          </cell>
        </row>
        <row r="12">
          <cell r="B12">
            <v>9</v>
          </cell>
          <cell r="D12">
            <v>0</v>
          </cell>
          <cell r="E12">
            <v>0.66666666666666663</v>
          </cell>
          <cell r="F12">
            <v>0.33333333333333337</v>
          </cell>
          <cell r="G12">
            <v>0</v>
          </cell>
          <cell r="H12">
            <v>0</v>
          </cell>
        </row>
        <row r="13">
          <cell r="B13">
            <v>10</v>
          </cell>
          <cell r="D13">
            <v>0</v>
          </cell>
          <cell r="E13">
            <v>0.68333333333333324</v>
          </cell>
          <cell r="F13">
            <v>0.31666666666666676</v>
          </cell>
          <cell r="G13">
            <v>0</v>
          </cell>
          <cell r="H13">
            <v>0</v>
          </cell>
        </row>
        <row r="14">
          <cell r="B14">
            <v>11</v>
          </cell>
          <cell r="D14">
            <v>0</v>
          </cell>
          <cell r="E14">
            <v>0.9</v>
          </cell>
          <cell r="F14">
            <v>9.9999999999999978E-2</v>
          </cell>
          <cell r="G14">
            <v>0</v>
          </cell>
          <cell r="H14">
            <v>0</v>
          </cell>
        </row>
        <row r="15">
          <cell r="B15">
            <v>12</v>
          </cell>
          <cell r="D15">
            <v>0</v>
          </cell>
          <cell r="E15">
            <v>0.43333333333333335</v>
          </cell>
          <cell r="F15">
            <v>0.56666666666666665</v>
          </cell>
          <cell r="G15">
            <v>0</v>
          </cell>
          <cell r="H15">
            <v>0</v>
          </cell>
        </row>
        <row r="16">
          <cell r="B16">
            <v>13</v>
          </cell>
          <cell r="D16">
            <v>0</v>
          </cell>
          <cell r="E16">
            <v>0.41666666666666669</v>
          </cell>
          <cell r="F16">
            <v>0.58333333333333326</v>
          </cell>
          <cell r="G16">
            <v>0</v>
          </cell>
          <cell r="H16">
            <v>0</v>
          </cell>
        </row>
        <row r="17">
          <cell r="B17">
            <v>14</v>
          </cell>
          <cell r="D17">
            <v>0</v>
          </cell>
          <cell r="E17">
            <v>0.5</v>
          </cell>
          <cell r="F17">
            <v>0.5</v>
          </cell>
          <cell r="G17">
            <v>0</v>
          </cell>
          <cell r="H17">
            <v>0</v>
          </cell>
        </row>
        <row r="18">
          <cell r="B18">
            <v>15</v>
          </cell>
          <cell r="D18">
            <v>0</v>
          </cell>
          <cell r="E18">
            <v>0.20000000000000004</v>
          </cell>
          <cell r="F18">
            <v>0.79999999999999993</v>
          </cell>
          <cell r="G18">
            <v>0</v>
          </cell>
          <cell r="H18">
            <v>0</v>
          </cell>
        </row>
        <row r="19">
          <cell r="B19">
            <v>16</v>
          </cell>
          <cell r="D19">
            <v>0</v>
          </cell>
          <cell r="E19">
            <v>0.23333333333333331</v>
          </cell>
          <cell r="F19">
            <v>0.76666666666666672</v>
          </cell>
          <cell r="G19">
            <v>0</v>
          </cell>
          <cell r="H19">
            <v>0</v>
          </cell>
        </row>
        <row r="20">
          <cell r="B20">
            <v>17</v>
          </cell>
          <cell r="D20">
            <v>0</v>
          </cell>
          <cell r="E20">
            <v>0.6333333333333333</v>
          </cell>
          <cell r="F20">
            <v>0.3666666666666667</v>
          </cell>
          <cell r="G20">
            <v>0</v>
          </cell>
          <cell r="H20">
            <v>0</v>
          </cell>
        </row>
        <row r="21">
          <cell r="B21">
            <v>18</v>
          </cell>
          <cell r="D21">
            <v>0</v>
          </cell>
          <cell r="E21">
            <v>0.91666666666666663</v>
          </cell>
          <cell r="F21">
            <v>8.333333333333337E-2</v>
          </cell>
          <cell r="G21">
            <v>0</v>
          </cell>
          <cell r="H21">
            <v>0</v>
          </cell>
        </row>
        <row r="22">
          <cell r="B22">
            <v>19</v>
          </cell>
          <cell r="D22">
            <v>0</v>
          </cell>
          <cell r="E22">
            <v>0.91666666666666663</v>
          </cell>
          <cell r="F22">
            <v>8.333333333333337E-2</v>
          </cell>
          <cell r="G22">
            <v>0</v>
          </cell>
          <cell r="H22">
            <v>0</v>
          </cell>
        </row>
        <row r="23">
          <cell r="B23">
            <v>20</v>
          </cell>
          <cell r="D23">
            <v>0</v>
          </cell>
          <cell r="E23">
            <v>0.43333333333333335</v>
          </cell>
          <cell r="F23">
            <v>0.56666666666666665</v>
          </cell>
          <cell r="G23">
            <v>0</v>
          </cell>
          <cell r="H23">
            <v>0</v>
          </cell>
        </row>
        <row r="24">
          <cell r="B24">
            <v>21</v>
          </cell>
          <cell r="D24">
            <v>0</v>
          </cell>
          <cell r="E24">
            <v>0.6333333333333333</v>
          </cell>
          <cell r="F24">
            <v>0.3666666666666667</v>
          </cell>
          <cell r="G24">
            <v>0</v>
          </cell>
          <cell r="H24">
            <v>0</v>
          </cell>
        </row>
        <row r="25">
          <cell r="B25">
            <v>22</v>
          </cell>
          <cell r="D25">
            <v>0</v>
          </cell>
          <cell r="E25">
            <v>0.43333333333333335</v>
          </cell>
          <cell r="F25">
            <v>0.56666666666666665</v>
          </cell>
          <cell r="G25">
            <v>0</v>
          </cell>
          <cell r="H25">
            <v>0</v>
          </cell>
        </row>
        <row r="26">
          <cell r="B26">
            <v>23</v>
          </cell>
          <cell r="D26">
            <v>0</v>
          </cell>
          <cell r="E26">
            <v>0.32777777777777778</v>
          </cell>
          <cell r="F26">
            <v>0.67222222222222228</v>
          </cell>
          <cell r="G26">
            <v>0</v>
          </cell>
          <cell r="H26">
            <v>0</v>
          </cell>
        </row>
        <row r="27">
          <cell r="B27">
            <v>24</v>
          </cell>
          <cell r="D27">
            <v>0</v>
          </cell>
          <cell r="E27">
            <v>0.46666666666666662</v>
          </cell>
          <cell r="F27">
            <v>0.53333333333333344</v>
          </cell>
          <cell r="G27">
            <v>0</v>
          </cell>
          <cell r="H27">
            <v>0</v>
          </cell>
        </row>
        <row r="28">
          <cell r="B28">
            <v>25</v>
          </cell>
          <cell r="D28">
            <v>0</v>
          </cell>
          <cell r="E28">
            <v>0.54999999999999993</v>
          </cell>
          <cell r="F28">
            <v>0.45000000000000007</v>
          </cell>
          <cell r="G28">
            <v>0</v>
          </cell>
          <cell r="H28">
            <v>0</v>
          </cell>
        </row>
        <row r="29">
          <cell r="B29">
            <v>26</v>
          </cell>
          <cell r="D29">
            <v>0</v>
          </cell>
          <cell r="E29">
            <v>0.64166666666666661</v>
          </cell>
          <cell r="F29">
            <v>0.35833333333333339</v>
          </cell>
          <cell r="G29">
            <v>0</v>
          </cell>
          <cell r="H29">
            <v>0</v>
          </cell>
        </row>
        <row r="30">
          <cell r="B30">
            <v>27</v>
          </cell>
          <cell r="D30">
            <v>0</v>
          </cell>
          <cell r="E30">
            <v>0.58333333333333337</v>
          </cell>
          <cell r="F30">
            <v>0.41666666666666663</v>
          </cell>
          <cell r="G30">
            <v>0</v>
          </cell>
          <cell r="H30">
            <v>0</v>
          </cell>
        </row>
        <row r="31">
          <cell r="B31">
            <v>28</v>
          </cell>
          <cell r="D31">
            <v>0</v>
          </cell>
          <cell r="E31">
            <v>0.46666666666666673</v>
          </cell>
          <cell r="F31">
            <v>0.53333333333333321</v>
          </cell>
          <cell r="G31">
            <v>0</v>
          </cell>
          <cell r="H31">
            <v>0</v>
          </cell>
        </row>
        <row r="32">
          <cell r="B32">
            <v>29</v>
          </cell>
          <cell r="D32">
            <v>0</v>
          </cell>
          <cell r="E32">
            <v>0.23333333333333331</v>
          </cell>
          <cell r="F32">
            <v>0.76666666666666672</v>
          </cell>
          <cell r="G32">
            <v>0</v>
          </cell>
          <cell r="H32">
            <v>0</v>
          </cell>
        </row>
        <row r="33">
          <cell r="B33">
            <v>30</v>
          </cell>
          <cell r="D33">
            <v>0</v>
          </cell>
          <cell r="E33">
            <v>0.25</v>
          </cell>
          <cell r="F33">
            <v>0.75</v>
          </cell>
          <cell r="G33">
            <v>0</v>
          </cell>
          <cell r="H33">
            <v>0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ATU"/>
      <sheetName val="Coal Blend"/>
      <sheetName val="Resume Coal Blend"/>
      <sheetName val="Estimasi NPHR"/>
      <sheetName val="UNIT 1"/>
      <sheetName val="UNIT 2"/>
      <sheetName val="UNIT 3"/>
      <sheetName val="COAL BLENDING MARET 2020"/>
      <sheetName val="INPUT DATA"/>
      <sheetName val="kWh Gross"/>
      <sheetName val="MaxMin"/>
    </sheetNames>
    <sheetDataSet>
      <sheetData sheetId="0" refreshError="1"/>
      <sheetData sheetId="1">
        <row r="7">
          <cell r="BV7">
            <v>0.20833333333333334</v>
          </cell>
        </row>
        <row r="23">
          <cell r="BV23">
            <v>0.25</v>
          </cell>
        </row>
        <row r="39">
          <cell r="BV39">
            <v>0.70000000000000007</v>
          </cell>
        </row>
        <row r="55">
          <cell r="BV55">
            <v>0.53333333333333333</v>
          </cell>
        </row>
        <row r="71">
          <cell r="BV71">
            <v>0.68333333333333324</v>
          </cell>
        </row>
        <row r="87">
          <cell r="BV87">
            <v>0.44444444444444442</v>
          </cell>
        </row>
        <row r="103">
          <cell r="BV103">
            <v>0.45</v>
          </cell>
        </row>
        <row r="119">
          <cell r="BV119">
            <v>0.54166666666666663</v>
          </cell>
        </row>
        <row r="135">
          <cell r="BV135">
            <v>0.57500000000000007</v>
          </cell>
        </row>
        <row r="151">
          <cell r="BV151">
            <v>0.84166666666666667</v>
          </cell>
        </row>
        <row r="167">
          <cell r="BV167">
            <v>0.46666666666666662</v>
          </cell>
        </row>
        <row r="183">
          <cell r="BV183">
            <v>0.83333333333333337</v>
          </cell>
        </row>
        <row r="199">
          <cell r="BV199">
            <v>0.6166666666666667</v>
          </cell>
        </row>
        <row r="215">
          <cell r="BV215">
            <v>0.85</v>
          </cell>
        </row>
        <row r="231">
          <cell r="BV231">
            <v>0.73333333333333339</v>
          </cell>
        </row>
        <row r="247">
          <cell r="BV247">
            <v>0.75</v>
          </cell>
        </row>
        <row r="263">
          <cell r="BV263">
            <v>0.79999999999999993</v>
          </cell>
        </row>
        <row r="279">
          <cell r="BV279">
            <v>0.68333333333333324</v>
          </cell>
        </row>
        <row r="295">
          <cell r="BV295">
            <v>0.6333333333333333</v>
          </cell>
        </row>
        <row r="311">
          <cell r="BV311">
            <v>0.58333333333333337</v>
          </cell>
        </row>
        <row r="327">
          <cell r="BV327">
            <v>0.8833333333333333</v>
          </cell>
        </row>
        <row r="343">
          <cell r="BV343">
            <v>0.45</v>
          </cell>
        </row>
        <row r="359">
          <cell r="BV359">
            <v>0.56666666666666665</v>
          </cell>
        </row>
        <row r="375">
          <cell r="BV375">
            <v>0.5</v>
          </cell>
        </row>
        <row r="391">
          <cell r="BV391">
            <v>0.45</v>
          </cell>
        </row>
        <row r="407">
          <cell r="BV407">
            <v>9.9999999999999992E-2</v>
          </cell>
        </row>
        <row r="423">
          <cell r="BV423">
            <v>8.3333333333333329E-2</v>
          </cell>
        </row>
        <row r="439">
          <cell r="BV439">
            <v>8.3333333333333329E-2</v>
          </cell>
        </row>
        <row r="455">
          <cell r="BV455">
            <v>0.41666666666666669</v>
          </cell>
        </row>
        <row r="471">
          <cell r="BV471">
            <v>0.13333333333333333</v>
          </cell>
        </row>
      </sheetData>
      <sheetData sheetId="2" refreshError="1"/>
      <sheetData sheetId="3">
        <row r="4">
          <cell r="C4">
            <v>4178.0787545787543</v>
          </cell>
          <cell r="D4">
            <v>0</v>
          </cell>
        </row>
        <row r="5">
          <cell r="C5">
            <v>4142.0148148148146</v>
          </cell>
          <cell r="D5">
            <v>0</v>
          </cell>
        </row>
        <row r="6">
          <cell r="C6">
            <v>4314.9934330621409</v>
          </cell>
          <cell r="D6">
            <v>0</v>
          </cell>
        </row>
        <row r="7">
          <cell r="C7">
            <v>4240.5927407407407</v>
          </cell>
          <cell r="D7">
            <v>0</v>
          </cell>
        </row>
        <row r="8">
          <cell r="C8">
            <v>4431.2523809523809</v>
          </cell>
          <cell r="D8">
            <v>0</v>
          </cell>
        </row>
        <row r="9">
          <cell r="C9">
            <v>4286.6467885607126</v>
          </cell>
          <cell r="D9">
            <v>0</v>
          </cell>
        </row>
        <row r="10">
          <cell r="C10">
            <v>4109.0011822139304</v>
          </cell>
          <cell r="D10">
            <v>0</v>
          </cell>
        </row>
        <row r="11">
          <cell r="C11">
            <v>4260.9439930717572</v>
          </cell>
          <cell r="D11">
            <v>0</v>
          </cell>
        </row>
        <row r="12">
          <cell r="C12">
            <v>4406.6867121212117</v>
          </cell>
          <cell r="D12">
            <v>0</v>
          </cell>
        </row>
        <row r="13">
          <cell r="C13">
            <v>4535.3830987394958</v>
          </cell>
          <cell r="D13">
            <v>0</v>
          </cell>
        </row>
        <row r="14">
          <cell r="C14">
            <v>4358.0880174291951</v>
          </cell>
          <cell r="D14">
            <v>0</v>
          </cell>
        </row>
        <row r="15">
          <cell r="C15">
            <v>4079.3199999999997</v>
          </cell>
          <cell r="D15">
            <v>0</v>
          </cell>
        </row>
        <row r="16">
          <cell r="C16">
            <v>4350.6671571906363</v>
          </cell>
          <cell r="D16">
            <v>0</v>
          </cell>
        </row>
        <row r="17">
          <cell r="C17">
            <v>4463.9323835368623</v>
          </cell>
          <cell r="D17">
            <v>0</v>
          </cell>
        </row>
        <row r="18">
          <cell r="C18">
            <v>4322.5068368617685</v>
          </cell>
          <cell r="D18">
            <v>0</v>
          </cell>
        </row>
        <row r="19">
          <cell r="C19">
            <v>4474.3214285714284</v>
          </cell>
          <cell r="D19">
            <v>0</v>
          </cell>
        </row>
        <row r="20">
          <cell r="C20">
            <v>4388.7461333333331</v>
          </cell>
          <cell r="D20">
            <v>0</v>
          </cell>
        </row>
        <row r="21">
          <cell r="C21">
            <v>4492.1352941176474</v>
          </cell>
          <cell r="D21">
            <v>0</v>
          </cell>
        </row>
        <row r="22">
          <cell r="C22">
            <v>4393.0379666666668</v>
          </cell>
          <cell r="D22">
            <v>0</v>
          </cell>
        </row>
        <row r="23">
          <cell r="C23">
            <v>4313.8922385849983</v>
          </cell>
          <cell r="D23">
            <v>0</v>
          </cell>
        </row>
        <row r="24">
          <cell r="C24">
            <v>4433.7469411764705</v>
          </cell>
          <cell r="D24">
            <v>0</v>
          </cell>
        </row>
        <row r="25">
          <cell r="C25">
            <v>4344.3197918989226</v>
          </cell>
          <cell r="D25">
            <v>0</v>
          </cell>
        </row>
        <row r="26">
          <cell r="C26">
            <v>4384.3699513568872</v>
          </cell>
          <cell r="D26">
            <v>0</v>
          </cell>
        </row>
        <row r="27">
          <cell r="C27">
            <v>4337.3353302611367</v>
          </cell>
          <cell r="D27">
            <v>0</v>
          </cell>
        </row>
        <row r="28">
          <cell r="C28">
            <v>4343.7686782106775</v>
          </cell>
          <cell r="D28">
            <v>0</v>
          </cell>
        </row>
        <row r="29">
          <cell r="C29">
            <v>3291.985282710757</v>
          </cell>
          <cell r="D29">
            <v>0</v>
          </cell>
        </row>
        <row r="30">
          <cell r="C30">
            <v>3986.3242105263162</v>
          </cell>
          <cell r="D30">
            <v>0</v>
          </cell>
        </row>
        <row r="31">
          <cell r="C31">
            <v>3878.6019860440156</v>
          </cell>
          <cell r="D31">
            <v>0</v>
          </cell>
        </row>
        <row r="32">
          <cell r="C32">
            <v>4334.144540229885</v>
          </cell>
          <cell r="D32">
            <v>0</v>
          </cell>
        </row>
        <row r="33">
          <cell r="C33">
            <v>4237.2124031007752</v>
          </cell>
          <cell r="D33">
            <v>0</v>
          </cell>
        </row>
      </sheetData>
      <sheetData sheetId="4">
        <row r="4">
          <cell r="B4">
            <v>1</v>
          </cell>
          <cell r="D4">
            <v>0</v>
          </cell>
          <cell r="E4">
            <v>0.20833333333333334</v>
          </cell>
          <cell r="F4">
            <v>0.79166666666666663</v>
          </cell>
          <cell r="G4">
            <v>0</v>
          </cell>
          <cell r="H4">
            <v>0</v>
          </cell>
        </row>
        <row r="5">
          <cell r="B5">
            <v>2</v>
          </cell>
          <cell r="D5">
            <v>0</v>
          </cell>
          <cell r="E5">
            <v>0.25</v>
          </cell>
          <cell r="F5">
            <v>0.75</v>
          </cell>
          <cell r="G5">
            <v>0</v>
          </cell>
          <cell r="H5">
            <v>0</v>
          </cell>
        </row>
        <row r="6">
          <cell r="B6">
            <v>3</v>
          </cell>
          <cell r="D6">
            <v>0</v>
          </cell>
          <cell r="E6">
            <v>0.70000000000000007</v>
          </cell>
          <cell r="F6">
            <v>0.29999999999999993</v>
          </cell>
          <cell r="G6">
            <v>0</v>
          </cell>
          <cell r="H6">
            <v>0</v>
          </cell>
        </row>
        <row r="7">
          <cell r="B7">
            <v>4</v>
          </cell>
          <cell r="D7">
            <v>0</v>
          </cell>
          <cell r="E7">
            <v>0.53333333333333333</v>
          </cell>
          <cell r="F7">
            <v>0.46666666666666667</v>
          </cell>
          <cell r="G7">
            <v>0</v>
          </cell>
          <cell r="H7">
            <v>0</v>
          </cell>
        </row>
        <row r="8">
          <cell r="B8">
            <v>5</v>
          </cell>
          <cell r="D8">
            <v>0</v>
          </cell>
          <cell r="E8">
            <v>0.68333333333333324</v>
          </cell>
          <cell r="F8">
            <v>0.31666666666666676</v>
          </cell>
          <cell r="G8">
            <v>0</v>
          </cell>
          <cell r="H8">
            <v>0</v>
          </cell>
        </row>
        <row r="9">
          <cell r="B9">
            <v>6</v>
          </cell>
          <cell r="D9">
            <v>0</v>
          </cell>
          <cell r="E9">
            <v>0.44444444444444442</v>
          </cell>
          <cell r="F9">
            <v>0.55555555555555558</v>
          </cell>
          <cell r="G9">
            <v>0</v>
          </cell>
          <cell r="H9">
            <v>0</v>
          </cell>
        </row>
        <row r="10">
          <cell r="B10">
            <v>7</v>
          </cell>
          <cell r="D10">
            <v>0</v>
          </cell>
          <cell r="E10">
            <v>0.45</v>
          </cell>
          <cell r="F10">
            <v>0.55000000000000004</v>
          </cell>
          <cell r="G10">
            <v>0</v>
          </cell>
          <cell r="H10">
            <v>0</v>
          </cell>
        </row>
        <row r="11">
          <cell r="B11">
            <v>8</v>
          </cell>
          <cell r="D11">
            <v>0</v>
          </cell>
          <cell r="E11">
            <v>0.54166666666666663</v>
          </cell>
          <cell r="F11">
            <v>0.45833333333333337</v>
          </cell>
          <cell r="G11">
            <v>0</v>
          </cell>
          <cell r="H11">
            <v>0</v>
          </cell>
        </row>
        <row r="12">
          <cell r="B12">
            <v>9</v>
          </cell>
          <cell r="D12">
            <v>0</v>
          </cell>
          <cell r="E12">
            <v>0.57500000000000007</v>
          </cell>
          <cell r="F12">
            <v>0.42499999999999993</v>
          </cell>
          <cell r="G12">
            <v>0</v>
          </cell>
          <cell r="H12">
            <v>0</v>
          </cell>
        </row>
        <row r="13">
          <cell r="B13">
            <v>10</v>
          </cell>
          <cell r="D13">
            <v>0</v>
          </cell>
          <cell r="E13">
            <v>0.84166666666666667</v>
          </cell>
          <cell r="F13">
            <v>0.15833333333333333</v>
          </cell>
          <cell r="G13">
            <v>0</v>
          </cell>
          <cell r="H13">
            <v>0</v>
          </cell>
        </row>
        <row r="14">
          <cell r="B14">
            <v>11</v>
          </cell>
          <cell r="D14">
            <v>0</v>
          </cell>
          <cell r="E14">
            <v>0.46666666666666662</v>
          </cell>
          <cell r="F14">
            <v>0.53333333333333344</v>
          </cell>
          <cell r="G14">
            <v>0</v>
          </cell>
          <cell r="H14">
            <v>0</v>
          </cell>
        </row>
        <row r="15">
          <cell r="B15">
            <v>12</v>
          </cell>
          <cell r="D15">
            <v>0</v>
          </cell>
          <cell r="E15">
            <v>0.83333333333333337</v>
          </cell>
          <cell r="F15">
            <v>0.16666666666666663</v>
          </cell>
          <cell r="G15">
            <v>0</v>
          </cell>
          <cell r="H15">
            <v>0</v>
          </cell>
        </row>
        <row r="16">
          <cell r="B16">
            <v>13</v>
          </cell>
          <cell r="D16">
            <v>0</v>
          </cell>
          <cell r="E16">
            <v>0.6166666666666667</v>
          </cell>
          <cell r="F16">
            <v>0.3833333333333333</v>
          </cell>
          <cell r="G16">
            <v>0</v>
          </cell>
          <cell r="H16">
            <v>0</v>
          </cell>
        </row>
        <row r="17">
          <cell r="B17">
            <v>14</v>
          </cell>
          <cell r="D17">
            <v>0</v>
          </cell>
          <cell r="E17">
            <v>0.85</v>
          </cell>
          <cell r="F17">
            <v>0.15000000000000002</v>
          </cell>
          <cell r="G17">
            <v>0</v>
          </cell>
          <cell r="H17">
            <v>0</v>
          </cell>
        </row>
        <row r="18">
          <cell r="B18">
            <v>15</v>
          </cell>
          <cell r="D18">
            <v>0</v>
          </cell>
          <cell r="E18">
            <v>0.73333333333333339</v>
          </cell>
          <cell r="F18">
            <v>0.26666666666666661</v>
          </cell>
          <cell r="G18">
            <v>0</v>
          </cell>
          <cell r="H18">
            <v>0</v>
          </cell>
        </row>
        <row r="19">
          <cell r="B19">
            <v>16</v>
          </cell>
          <cell r="D19">
            <v>0</v>
          </cell>
          <cell r="E19">
            <v>0.75</v>
          </cell>
          <cell r="F19">
            <v>0.25</v>
          </cell>
          <cell r="G19">
            <v>0</v>
          </cell>
          <cell r="H19">
            <v>0</v>
          </cell>
        </row>
        <row r="20">
          <cell r="B20">
            <v>17</v>
          </cell>
          <cell r="D20">
            <v>0</v>
          </cell>
          <cell r="E20">
            <v>0.79999999999999993</v>
          </cell>
          <cell r="F20">
            <v>0.20000000000000007</v>
          </cell>
          <cell r="G20">
            <v>0</v>
          </cell>
          <cell r="H20">
            <v>0</v>
          </cell>
        </row>
        <row r="21">
          <cell r="B21">
            <v>18</v>
          </cell>
          <cell r="D21">
            <v>0</v>
          </cell>
          <cell r="E21">
            <v>0.68333333333333324</v>
          </cell>
          <cell r="F21">
            <v>0.31666666666666676</v>
          </cell>
          <cell r="G21">
            <v>0</v>
          </cell>
          <cell r="H21">
            <v>0</v>
          </cell>
        </row>
        <row r="22">
          <cell r="B22">
            <v>19</v>
          </cell>
          <cell r="D22">
            <v>0</v>
          </cell>
          <cell r="E22">
            <v>0.6333333333333333</v>
          </cell>
          <cell r="F22">
            <v>0.3666666666666667</v>
          </cell>
          <cell r="G22">
            <v>0</v>
          </cell>
          <cell r="H22">
            <v>0</v>
          </cell>
        </row>
        <row r="23">
          <cell r="B23">
            <v>20</v>
          </cell>
          <cell r="D23">
            <v>0</v>
          </cell>
          <cell r="E23">
            <v>0.58333333333333337</v>
          </cell>
          <cell r="F23">
            <v>0.41666666666666663</v>
          </cell>
          <cell r="G23">
            <v>0</v>
          </cell>
          <cell r="H23">
            <v>0</v>
          </cell>
        </row>
        <row r="24">
          <cell r="B24">
            <v>21</v>
          </cell>
          <cell r="D24">
            <v>0</v>
          </cell>
          <cell r="E24">
            <v>0.8833333333333333</v>
          </cell>
          <cell r="F24">
            <v>0.1166666666666667</v>
          </cell>
          <cell r="G24">
            <v>0</v>
          </cell>
          <cell r="H24">
            <v>0</v>
          </cell>
        </row>
        <row r="25">
          <cell r="B25">
            <v>22</v>
          </cell>
          <cell r="D25">
            <v>0</v>
          </cell>
          <cell r="E25">
            <v>0.45</v>
          </cell>
          <cell r="F25">
            <v>0.55000000000000004</v>
          </cell>
          <cell r="G25">
            <v>0</v>
          </cell>
          <cell r="H25">
            <v>0</v>
          </cell>
        </row>
        <row r="26">
          <cell r="B26">
            <v>23</v>
          </cell>
          <cell r="D26">
            <v>0</v>
          </cell>
          <cell r="E26">
            <v>0.56666666666666665</v>
          </cell>
          <cell r="F26">
            <v>0.43333333333333335</v>
          </cell>
          <cell r="G26">
            <v>0</v>
          </cell>
          <cell r="H26">
            <v>0</v>
          </cell>
        </row>
        <row r="27">
          <cell r="B27">
            <v>24</v>
          </cell>
          <cell r="D27">
            <v>0</v>
          </cell>
          <cell r="E27">
            <v>0.5</v>
          </cell>
          <cell r="F27">
            <v>0.5</v>
          </cell>
          <cell r="G27">
            <v>0</v>
          </cell>
          <cell r="H27">
            <v>0</v>
          </cell>
        </row>
        <row r="28">
          <cell r="B28">
            <v>25</v>
          </cell>
          <cell r="D28">
            <v>0</v>
          </cell>
          <cell r="E28">
            <v>0.45</v>
          </cell>
          <cell r="F28">
            <v>0.55000000000000004</v>
          </cell>
          <cell r="G28">
            <v>0</v>
          </cell>
          <cell r="H28">
            <v>0</v>
          </cell>
        </row>
        <row r="29">
          <cell r="B29">
            <v>26</v>
          </cell>
          <cell r="D29">
            <v>0</v>
          </cell>
          <cell r="E29">
            <v>9.9999999999999992E-2</v>
          </cell>
          <cell r="F29">
            <v>0.9</v>
          </cell>
          <cell r="G29">
            <v>0</v>
          </cell>
          <cell r="H29">
            <v>0</v>
          </cell>
        </row>
        <row r="30">
          <cell r="B30">
            <v>27</v>
          </cell>
          <cell r="D30">
            <v>0</v>
          </cell>
          <cell r="E30">
            <v>8.3333333333333329E-2</v>
          </cell>
          <cell r="F30">
            <v>0.91666666666666663</v>
          </cell>
          <cell r="G30">
            <v>0</v>
          </cell>
          <cell r="H30">
            <v>0</v>
          </cell>
        </row>
        <row r="31">
          <cell r="B31">
            <v>28</v>
          </cell>
          <cell r="D31">
            <v>0</v>
          </cell>
          <cell r="E31">
            <v>8.3333333333333329E-2</v>
          </cell>
          <cell r="F31">
            <v>0.91666666666666663</v>
          </cell>
          <cell r="G31">
            <v>0</v>
          </cell>
          <cell r="H31">
            <v>0</v>
          </cell>
        </row>
        <row r="32">
          <cell r="B32">
            <v>29</v>
          </cell>
          <cell r="D32">
            <v>0</v>
          </cell>
          <cell r="E32">
            <v>0.41666666666666669</v>
          </cell>
          <cell r="F32">
            <v>0.58333333333333326</v>
          </cell>
          <cell r="G32">
            <v>0</v>
          </cell>
          <cell r="H32">
            <v>0</v>
          </cell>
        </row>
        <row r="33">
          <cell r="B33">
            <v>30</v>
          </cell>
          <cell r="D33">
            <v>0</v>
          </cell>
          <cell r="E33">
            <v>0.13333333333333333</v>
          </cell>
          <cell r="F33">
            <v>0.8666666666666667</v>
          </cell>
          <cell r="G33">
            <v>0</v>
          </cell>
          <cell r="H33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ATU"/>
      <sheetName val="Coal Blend"/>
      <sheetName val="Resume Coal Blend"/>
      <sheetName val="Estimasi NPHR"/>
      <sheetName val="UNIT 1"/>
      <sheetName val="UNIT 2"/>
      <sheetName val="UNIT 3"/>
      <sheetName val="COAL BLENDING MARET 2020"/>
      <sheetName val="INPUT DATA"/>
      <sheetName val="kWh Gross"/>
      <sheetName val="MaxMin"/>
    </sheetNames>
    <sheetDataSet>
      <sheetData sheetId="0" refreshError="1"/>
      <sheetData sheetId="1">
        <row r="7">
          <cell r="BV7">
            <v>0.15</v>
          </cell>
        </row>
        <row r="23">
          <cell r="BV23">
            <v>0.26666666666666666</v>
          </cell>
        </row>
        <row r="39">
          <cell r="BV39">
            <v>0.28333333333333333</v>
          </cell>
        </row>
        <row r="55">
          <cell r="BV55">
            <v>0.39999999999999997</v>
          </cell>
        </row>
        <row r="71">
          <cell r="BV71">
            <v>0.44166666666666665</v>
          </cell>
        </row>
        <row r="87">
          <cell r="BV87">
            <v>0.45</v>
          </cell>
        </row>
        <row r="103">
          <cell r="BV103">
            <v>0.53333333333333333</v>
          </cell>
        </row>
        <row r="119">
          <cell r="BV119">
            <v>0.61111111111111105</v>
          </cell>
        </row>
        <row r="135">
          <cell r="BV135">
            <v>0.33333333333333331</v>
          </cell>
        </row>
        <row r="151">
          <cell r="BV151">
            <v>0.31666666666666665</v>
          </cell>
        </row>
        <row r="167">
          <cell r="BV167">
            <v>9.9999999999999992E-2</v>
          </cell>
        </row>
        <row r="183">
          <cell r="BV183">
            <v>0.33333333333333331</v>
          </cell>
        </row>
        <row r="199">
          <cell r="BV199">
            <v>0.19999999999999998</v>
          </cell>
        </row>
        <row r="215">
          <cell r="BV215">
            <v>0.26666666666666666</v>
          </cell>
        </row>
        <row r="231">
          <cell r="BV231">
            <v>0.3833333333333333</v>
          </cell>
        </row>
        <row r="247">
          <cell r="BV247">
            <v>0.3666666666666667</v>
          </cell>
        </row>
        <row r="263">
          <cell r="BV263">
            <v>0.41666666666666669</v>
          </cell>
        </row>
        <row r="279">
          <cell r="BV279">
            <v>0.54999999999999993</v>
          </cell>
        </row>
        <row r="295">
          <cell r="BV295">
            <v>0.68333333333333324</v>
          </cell>
        </row>
        <row r="311">
          <cell r="BV311">
            <v>0.65</v>
          </cell>
        </row>
        <row r="327">
          <cell r="BV327">
            <v>0.80000000000000016</v>
          </cell>
        </row>
        <row r="343">
          <cell r="BV343">
            <v>0.41666666666666669</v>
          </cell>
        </row>
        <row r="359">
          <cell r="BV359">
            <v>9.9999999999999992E-2</v>
          </cell>
        </row>
        <row r="375">
          <cell r="BV375">
            <v>0.13333333333333333</v>
          </cell>
        </row>
        <row r="391">
          <cell r="BV391">
            <v>0.20000000000000004</v>
          </cell>
        </row>
        <row r="407">
          <cell r="BV407">
            <v>0.6</v>
          </cell>
        </row>
        <row r="423">
          <cell r="BV423">
            <v>0.69999999999999984</v>
          </cell>
        </row>
        <row r="439">
          <cell r="BV439">
            <v>0.40000000000000008</v>
          </cell>
        </row>
        <row r="455">
          <cell r="BV455">
            <v>0.56666666666666665</v>
          </cell>
        </row>
        <row r="471">
          <cell r="BV471">
            <v>0.45</v>
          </cell>
        </row>
      </sheetData>
      <sheetData sheetId="2" refreshError="1"/>
      <sheetData sheetId="3">
        <row r="4">
          <cell r="C4">
            <v>4139.1788666666662</v>
          </cell>
          <cell r="D4">
            <v>0</v>
          </cell>
        </row>
        <row r="5">
          <cell r="C5">
            <v>4139.6433739144577</v>
          </cell>
          <cell r="D5">
            <v>0</v>
          </cell>
        </row>
        <row r="6">
          <cell r="C6">
            <v>4238.7448301605082</v>
          </cell>
          <cell r="D6">
            <v>0</v>
          </cell>
        </row>
        <row r="7">
          <cell r="C7">
            <v>4150.9530888888885</v>
          </cell>
          <cell r="D7">
            <v>0</v>
          </cell>
        </row>
        <row r="8">
          <cell r="C8">
            <v>4213.8871489621488</v>
          </cell>
          <cell r="D8">
            <v>0</v>
          </cell>
        </row>
        <row r="9">
          <cell r="C9">
            <v>4208.8370411070409</v>
          </cell>
          <cell r="D9">
            <v>0</v>
          </cell>
        </row>
        <row r="10">
          <cell r="C10">
            <v>4264.4782654127484</v>
          </cell>
          <cell r="D10">
            <v>0</v>
          </cell>
        </row>
        <row r="11">
          <cell r="C11">
            <v>4328.9957446808512</v>
          </cell>
          <cell r="D11">
            <v>0</v>
          </cell>
        </row>
        <row r="12">
          <cell r="C12">
            <v>4214.2072955974845</v>
          </cell>
          <cell r="D12">
            <v>0</v>
          </cell>
        </row>
        <row r="13">
          <cell r="C13">
            <v>4113.4575833333338</v>
          </cell>
          <cell r="D13">
            <v>0</v>
          </cell>
        </row>
        <row r="14">
          <cell r="C14">
            <v>4096.8714996446333</v>
          </cell>
          <cell r="D14">
            <v>0</v>
          </cell>
        </row>
        <row r="15">
          <cell r="C15">
            <v>4159.4444154471548</v>
          </cell>
          <cell r="D15">
            <v>0</v>
          </cell>
        </row>
        <row r="16">
          <cell r="C16">
            <v>4142.8889707226108</v>
          </cell>
          <cell r="D16">
            <v>0</v>
          </cell>
        </row>
        <row r="17">
          <cell r="C17">
            <v>4191.0087888888884</v>
          </cell>
          <cell r="D17">
            <v>0</v>
          </cell>
        </row>
        <row r="18">
          <cell r="C18">
            <v>4215.6548540375379</v>
          </cell>
          <cell r="D18">
            <v>0</v>
          </cell>
        </row>
        <row r="19">
          <cell r="C19">
            <v>4251.633964197531</v>
          </cell>
          <cell r="D19">
            <v>0</v>
          </cell>
        </row>
        <row r="20">
          <cell r="C20">
            <v>4205.1154295724846</v>
          </cell>
          <cell r="D20">
            <v>0</v>
          </cell>
        </row>
        <row r="21">
          <cell r="C21">
            <v>4357.1013319047624</v>
          </cell>
          <cell r="D21">
            <v>0</v>
          </cell>
        </row>
        <row r="22">
          <cell r="C22">
            <v>4309.5305084745769</v>
          </cell>
          <cell r="D22">
            <v>0</v>
          </cell>
        </row>
        <row r="23">
          <cell r="C23">
            <v>4492.2828070175447</v>
          </cell>
          <cell r="D23">
            <v>0</v>
          </cell>
        </row>
        <row r="24">
          <cell r="C24">
            <v>4361.4580693815988</v>
          </cell>
          <cell r="D24">
            <v>0</v>
          </cell>
        </row>
        <row r="25">
          <cell r="C25">
            <v>4269.3381532217145</v>
          </cell>
          <cell r="D25">
            <v>0</v>
          </cell>
        </row>
        <row r="26">
          <cell r="C26">
            <v>4332.748507246376</v>
          </cell>
          <cell r="D26">
            <v>0</v>
          </cell>
        </row>
        <row r="27">
          <cell r="C27">
            <v>4163.9939393939394</v>
          </cell>
          <cell r="D27">
            <v>0</v>
          </cell>
        </row>
        <row r="28">
          <cell r="C28">
            <v>4173.9858731444001</v>
          </cell>
          <cell r="D28">
            <v>0</v>
          </cell>
        </row>
        <row r="29">
          <cell r="C29">
            <v>4268.5902399235711</v>
          </cell>
          <cell r="D29">
            <v>0</v>
          </cell>
        </row>
        <row r="30">
          <cell r="C30">
            <v>4301.383544303797</v>
          </cell>
          <cell r="D30">
            <v>0</v>
          </cell>
        </row>
        <row r="31">
          <cell r="C31">
            <v>4338.4000000000005</v>
          </cell>
          <cell r="D31">
            <v>0</v>
          </cell>
        </row>
        <row r="32">
          <cell r="C32">
            <v>4329.8443201654745</v>
          </cell>
          <cell r="D32">
            <v>0</v>
          </cell>
        </row>
        <row r="33">
          <cell r="C33">
            <v>4271.1866254901952</v>
          </cell>
          <cell r="D33">
            <v>0</v>
          </cell>
        </row>
      </sheetData>
      <sheetData sheetId="4">
        <row r="4">
          <cell r="B4">
            <v>1</v>
          </cell>
          <cell r="D4">
            <v>0</v>
          </cell>
          <cell r="E4">
            <v>0.15</v>
          </cell>
          <cell r="F4">
            <v>0.85</v>
          </cell>
          <cell r="G4">
            <v>0</v>
          </cell>
          <cell r="H4">
            <v>0</v>
          </cell>
        </row>
        <row r="5">
          <cell r="B5">
            <v>2</v>
          </cell>
          <cell r="D5">
            <v>0</v>
          </cell>
          <cell r="E5">
            <v>0.26666666666666666</v>
          </cell>
          <cell r="F5">
            <v>0.73333333333333339</v>
          </cell>
          <cell r="G5">
            <v>0</v>
          </cell>
          <cell r="H5">
            <v>0</v>
          </cell>
        </row>
        <row r="6">
          <cell r="B6">
            <v>3</v>
          </cell>
          <cell r="D6">
            <v>0</v>
          </cell>
          <cell r="E6">
            <v>0.28333333333333333</v>
          </cell>
          <cell r="F6">
            <v>0.71666666666666667</v>
          </cell>
          <cell r="G6">
            <v>0</v>
          </cell>
          <cell r="H6">
            <v>0</v>
          </cell>
        </row>
        <row r="7">
          <cell r="B7">
            <v>4</v>
          </cell>
          <cell r="D7">
            <v>0</v>
          </cell>
          <cell r="E7">
            <v>0.39999999999999997</v>
          </cell>
          <cell r="F7">
            <v>0.60000000000000009</v>
          </cell>
          <cell r="G7">
            <v>0</v>
          </cell>
          <cell r="H7">
            <v>0</v>
          </cell>
        </row>
        <row r="8">
          <cell r="B8">
            <v>5</v>
          </cell>
          <cell r="D8">
            <v>0</v>
          </cell>
          <cell r="E8">
            <v>0.44166666666666665</v>
          </cell>
          <cell r="F8">
            <v>0.55833333333333335</v>
          </cell>
          <cell r="G8">
            <v>0</v>
          </cell>
          <cell r="H8">
            <v>0</v>
          </cell>
        </row>
        <row r="9">
          <cell r="B9">
            <v>6</v>
          </cell>
          <cell r="D9">
            <v>0</v>
          </cell>
          <cell r="E9">
            <v>0.45</v>
          </cell>
          <cell r="F9">
            <v>0.55000000000000004</v>
          </cell>
          <cell r="G9">
            <v>0</v>
          </cell>
          <cell r="H9">
            <v>0</v>
          </cell>
        </row>
        <row r="10">
          <cell r="B10">
            <v>7</v>
          </cell>
          <cell r="D10">
            <v>0</v>
          </cell>
          <cell r="E10">
            <v>0.53333333333333333</v>
          </cell>
          <cell r="F10">
            <v>0.46666666666666667</v>
          </cell>
          <cell r="G10">
            <v>0</v>
          </cell>
          <cell r="H10">
            <v>0</v>
          </cell>
        </row>
        <row r="11">
          <cell r="B11">
            <v>8</v>
          </cell>
          <cell r="D11">
            <v>0</v>
          </cell>
          <cell r="E11">
            <v>0.61111111111111105</v>
          </cell>
          <cell r="F11">
            <v>0.38888888888888895</v>
          </cell>
          <cell r="G11">
            <v>0</v>
          </cell>
          <cell r="H11">
            <v>0</v>
          </cell>
        </row>
        <row r="12">
          <cell r="B12">
            <v>9</v>
          </cell>
          <cell r="D12">
            <v>0</v>
          </cell>
          <cell r="E12">
            <v>0.33333333333333331</v>
          </cell>
          <cell r="F12">
            <v>0.66666666666666674</v>
          </cell>
          <cell r="G12">
            <v>0</v>
          </cell>
          <cell r="H12">
            <v>0</v>
          </cell>
        </row>
        <row r="13">
          <cell r="B13">
            <v>10</v>
          </cell>
          <cell r="D13">
            <v>0</v>
          </cell>
          <cell r="E13">
            <v>0.31666666666666665</v>
          </cell>
          <cell r="F13">
            <v>0.68333333333333335</v>
          </cell>
          <cell r="G13">
            <v>0</v>
          </cell>
          <cell r="H13">
            <v>0</v>
          </cell>
        </row>
        <row r="14">
          <cell r="B14">
            <v>11</v>
          </cell>
          <cell r="D14">
            <v>0</v>
          </cell>
          <cell r="E14">
            <v>9.9999999999999992E-2</v>
          </cell>
          <cell r="F14">
            <v>0.9</v>
          </cell>
          <cell r="G14">
            <v>0</v>
          </cell>
          <cell r="H14">
            <v>0</v>
          </cell>
        </row>
        <row r="15">
          <cell r="B15">
            <v>12</v>
          </cell>
          <cell r="D15">
            <v>0</v>
          </cell>
          <cell r="E15">
            <v>0.33333333333333331</v>
          </cell>
          <cell r="F15">
            <v>0.66666666666666674</v>
          </cell>
          <cell r="G15">
            <v>0</v>
          </cell>
          <cell r="H15">
            <v>0</v>
          </cell>
        </row>
        <row r="16">
          <cell r="B16">
            <v>13</v>
          </cell>
          <cell r="D16">
            <v>0</v>
          </cell>
          <cell r="E16">
            <v>0.19999999999999998</v>
          </cell>
          <cell r="F16">
            <v>0.8</v>
          </cell>
          <cell r="G16">
            <v>0</v>
          </cell>
          <cell r="H16">
            <v>0</v>
          </cell>
        </row>
        <row r="17">
          <cell r="B17">
            <v>14</v>
          </cell>
          <cell r="D17">
            <v>0</v>
          </cell>
          <cell r="E17">
            <v>0.26666666666666666</v>
          </cell>
          <cell r="F17">
            <v>0.73333333333333339</v>
          </cell>
          <cell r="G17">
            <v>0</v>
          </cell>
          <cell r="H17">
            <v>0</v>
          </cell>
        </row>
        <row r="18">
          <cell r="B18">
            <v>15</v>
          </cell>
          <cell r="D18">
            <v>0</v>
          </cell>
          <cell r="E18">
            <v>0.3833333333333333</v>
          </cell>
          <cell r="F18">
            <v>0.6166666666666667</v>
          </cell>
          <cell r="G18">
            <v>0</v>
          </cell>
          <cell r="H18">
            <v>0</v>
          </cell>
        </row>
        <row r="19">
          <cell r="B19">
            <v>16</v>
          </cell>
          <cell r="D19">
            <v>0</v>
          </cell>
          <cell r="E19">
            <v>0.3666666666666667</v>
          </cell>
          <cell r="F19">
            <v>0.6333333333333333</v>
          </cell>
          <cell r="G19">
            <v>0</v>
          </cell>
          <cell r="H19">
            <v>0</v>
          </cell>
        </row>
        <row r="20">
          <cell r="B20">
            <v>17</v>
          </cell>
          <cell r="D20">
            <v>0</v>
          </cell>
          <cell r="E20">
            <v>0.41666666666666669</v>
          </cell>
          <cell r="F20">
            <v>0.58333333333333326</v>
          </cell>
          <cell r="G20">
            <v>0</v>
          </cell>
          <cell r="H20">
            <v>0</v>
          </cell>
        </row>
        <row r="21">
          <cell r="B21">
            <v>18</v>
          </cell>
          <cell r="D21">
            <v>0</v>
          </cell>
          <cell r="E21">
            <v>0.54999999999999993</v>
          </cell>
          <cell r="F21">
            <v>0.45000000000000007</v>
          </cell>
          <cell r="G21">
            <v>0</v>
          </cell>
          <cell r="H21">
            <v>0</v>
          </cell>
        </row>
        <row r="22">
          <cell r="B22">
            <v>19</v>
          </cell>
          <cell r="D22">
            <v>0</v>
          </cell>
          <cell r="E22">
            <v>0.68333333333333324</v>
          </cell>
          <cell r="F22">
            <v>0.31666666666666676</v>
          </cell>
          <cell r="G22">
            <v>0</v>
          </cell>
          <cell r="H22">
            <v>0</v>
          </cell>
        </row>
        <row r="23">
          <cell r="B23">
            <v>20</v>
          </cell>
          <cell r="D23">
            <v>0</v>
          </cell>
          <cell r="E23">
            <v>0.65</v>
          </cell>
          <cell r="F23">
            <v>0.35</v>
          </cell>
          <cell r="G23">
            <v>0</v>
          </cell>
          <cell r="H23">
            <v>0</v>
          </cell>
        </row>
        <row r="24">
          <cell r="B24">
            <v>21</v>
          </cell>
          <cell r="D24">
            <v>0</v>
          </cell>
          <cell r="E24">
            <v>0.80000000000000016</v>
          </cell>
          <cell r="F24">
            <v>0.19999999999999984</v>
          </cell>
          <cell r="G24">
            <v>0</v>
          </cell>
          <cell r="H24">
            <v>0</v>
          </cell>
        </row>
        <row r="25">
          <cell r="B25">
            <v>22</v>
          </cell>
          <cell r="D25">
            <v>0</v>
          </cell>
          <cell r="E25">
            <v>0.41666666666666669</v>
          </cell>
          <cell r="F25">
            <v>0.58333333333333326</v>
          </cell>
          <cell r="G25">
            <v>0</v>
          </cell>
          <cell r="H25">
            <v>0</v>
          </cell>
        </row>
        <row r="26">
          <cell r="B26">
            <v>23</v>
          </cell>
          <cell r="D26">
            <v>0</v>
          </cell>
          <cell r="E26">
            <v>9.9999999999999992E-2</v>
          </cell>
          <cell r="F26">
            <v>0.9</v>
          </cell>
          <cell r="G26">
            <v>0</v>
          </cell>
          <cell r="H26">
            <v>0</v>
          </cell>
        </row>
        <row r="27">
          <cell r="B27">
            <v>24</v>
          </cell>
          <cell r="D27">
            <v>0</v>
          </cell>
          <cell r="E27">
            <v>0.13333333333333333</v>
          </cell>
          <cell r="F27">
            <v>0.8666666666666667</v>
          </cell>
          <cell r="G27">
            <v>0</v>
          </cell>
          <cell r="H27">
            <v>0</v>
          </cell>
        </row>
        <row r="28">
          <cell r="B28">
            <v>25</v>
          </cell>
          <cell r="D28">
            <v>0</v>
          </cell>
          <cell r="E28">
            <v>0.20000000000000004</v>
          </cell>
          <cell r="F28">
            <v>0.79999999999999993</v>
          </cell>
          <cell r="G28">
            <v>0</v>
          </cell>
          <cell r="H28">
            <v>0</v>
          </cell>
        </row>
        <row r="29">
          <cell r="B29">
            <v>26</v>
          </cell>
          <cell r="D29">
            <v>0</v>
          </cell>
          <cell r="E29">
            <v>0.6</v>
          </cell>
          <cell r="F29">
            <v>0.4</v>
          </cell>
          <cell r="G29">
            <v>0</v>
          </cell>
          <cell r="H29">
            <v>0</v>
          </cell>
        </row>
        <row r="30">
          <cell r="B30">
            <v>27</v>
          </cell>
          <cell r="D30">
            <v>0</v>
          </cell>
          <cell r="E30">
            <v>0.69999999999999984</v>
          </cell>
          <cell r="F30">
            <v>0.30000000000000016</v>
          </cell>
          <cell r="G30">
            <v>0</v>
          </cell>
          <cell r="H30">
            <v>0</v>
          </cell>
        </row>
        <row r="31">
          <cell r="B31">
            <v>28</v>
          </cell>
          <cell r="D31">
            <v>0</v>
          </cell>
          <cell r="E31">
            <v>0.40000000000000008</v>
          </cell>
          <cell r="F31">
            <v>0.59999999999999987</v>
          </cell>
          <cell r="G31">
            <v>0</v>
          </cell>
          <cell r="H31">
            <v>0</v>
          </cell>
        </row>
        <row r="32">
          <cell r="B32">
            <v>29</v>
          </cell>
          <cell r="D32">
            <v>0</v>
          </cell>
          <cell r="E32">
            <v>0.56666666666666665</v>
          </cell>
          <cell r="F32">
            <v>0.43333333333333335</v>
          </cell>
          <cell r="G32">
            <v>0</v>
          </cell>
          <cell r="H32">
            <v>0</v>
          </cell>
        </row>
        <row r="33">
          <cell r="B33">
            <v>30</v>
          </cell>
          <cell r="D33">
            <v>0</v>
          </cell>
          <cell r="E33">
            <v>0.45</v>
          </cell>
          <cell r="F33">
            <v>0.55000000000000004</v>
          </cell>
          <cell r="G33">
            <v>0</v>
          </cell>
          <cell r="H33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ATU"/>
      <sheetName val="Coal Blend"/>
      <sheetName val="Resume Coal Blend"/>
      <sheetName val="Estimasi NPHR"/>
      <sheetName val="UNIT 1"/>
      <sheetName val="UNIT 2"/>
      <sheetName val="UNIT 3"/>
      <sheetName val="COAL BLENDING MARET 2020"/>
      <sheetName val="INPUT DATA"/>
      <sheetName val="kWh Gross"/>
      <sheetName val="MaxMin"/>
    </sheetNames>
    <sheetDataSet>
      <sheetData sheetId="0" refreshError="1"/>
      <sheetData sheetId="1">
        <row r="7">
          <cell r="BV7">
            <v>0.53333333333333333</v>
          </cell>
        </row>
        <row r="23">
          <cell r="BV23">
            <v>0.6</v>
          </cell>
        </row>
        <row r="39">
          <cell r="BV39">
            <v>0.19999999999999998</v>
          </cell>
        </row>
        <row r="55">
          <cell r="BV55">
            <v>0.48333333333333334</v>
          </cell>
        </row>
        <row r="71">
          <cell r="BV71">
            <v>0.68333333333333324</v>
          </cell>
        </row>
        <row r="87">
          <cell r="BV87">
            <v>0.6166666666666667</v>
          </cell>
        </row>
        <row r="103">
          <cell r="BV103">
            <v>0.52500000000000002</v>
          </cell>
        </row>
        <row r="119">
          <cell r="BV119">
            <v>0.5</v>
          </cell>
        </row>
        <row r="135">
          <cell r="BV135">
            <v>0.52500000000000002</v>
          </cell>
        </row>
        <row r="151">
          <cell r="BV151">
            <v>0.49166666666666664</v>
          </cell>
        </row>
        <row r="167">
          <cell r="BV167">
            <v>0.6</v>
          </cell>
        </row>
        <row r="183">
          <cell r="BV183">
            <v>0.76666666666666661</v>
          </cell>
        </row>
        <row r="199">
          <cell r="BV199">
            <v>0.73333333333333339</v>
          </cell>
        </row>
        <row r="215">
          <cell r="BV215">
            <v>0.3666666666666667</v>
          </cell>
        </row>
        <row r="231">
          <cell r="BV231">
            <v>0.45</v>
          </cell>
        </row>
        <row r="247">
          <cell r="BV247">
            <v>0.85</v>
          </cell>
        </row>
        <row r="263">
          <cell r="BV263">
            <v>0.71666666666666667</v>
          </cell>
        </row>
        <row r="279">
          <cell r="BV279">
            <v>0.90833333333333333</v>
          </cell>
        </row>
        <row r="295">
          <cell r="BV295">
            <v>0.65</v>
          </cell>
        </row>
        <row r="311">
          <cell r="BV311">
            <v>0.59166666666666667</v>
          </cell>
        </row>
        <row r="327">
          <cell r="BV327">
            <v>0.48333333333333334</v>
          </cell>
        </row>
        <row r="343">
          <cell r="BV343">
            <v>0.875</v>
          </cell>
        </row>
        <row r="359">
          <cell r="BV359">
            <v>0.56666666666666665</v>
          </cell>
        </row>
        <row r="375">
          <cell r="BV375">
            <v>0.67499999999999993</v>
          </cell>
        </row>
        <row r="391">
          <cell r="BV391">
            <v>0.60833333333333328</v>
          </cell>
        </row>
        <row r="407">
          <cell r="BV407">
            <v>0.45833333333333331</v>
          </cell>
        </row>
        <row r="423">
          <cell r="BV423">
            <v>0.125</v>
          </cell>
        </row>
        <row r="439">
          <cell r="BV439">
            <v>0.18333333333333335</v>
          </cell>
        </row>
        <row r="455">
          <cell r="BV455">
            <v>0.53333333333333333</v>
          </cell>
        </row>
        <row r="471">
          <cell r="BV471">
            <v>0.51666666666666672</v>
          </cell>
        </row>
      </sheetData>
      <sheetData sheetId="2" refreshError="1"/>
      <sheetData sheetId="3">
        <row r="4">
          <cell r="C4">
            <v>4278.1972507132659</v>
          </cell>
          <cell r="D4">
            <v>0</v>
          </cell>
        </row>
        <row r="5">
          <cell r="C5">
            <v>4363.5941025641032</v>
          </cell>
          <cell r="D5">
            <v>0</v>
          </cell>
        </row>
        <row r="6">
          <cell r="C6">
            <v>3980.4446000000003</v>
          </cell>
          <cell r="D6">
            <v>0</v>
          </cell>
        </row>
        <row r="7">
          <cell r="C7">
            <v>4276.4240330291177</v>
          </cell>
          <cell r="D7">
            <v>0</v>
          </cell>
        </row>
        <row r="8">
          <cell r="C8">
            <v>4391.3426821405546</v>
          </cell>
          <cell r="D8">
            <v>0</v>
          </cell>
        </row>
        <row r="9">
          <cell r="C9">
            <v>4264.8914904761905</v>
          </cell>
          <cell r="D9">
            <v>0</v>
          </cell>
        </row>
        <row r="10">
          <cell r="C10">
            <v>4265.5253081437904</v>
          </cell>
          <cell r="D10">
            <v>0</v>
          </cell>
        </row>
        <row r="11">
          <cell r="C11">
            <v>4299.666666666667</v>
          </cell>
          <cell r="D11">
            <v>0</v>
          </cell>
        </row>
        <row r="12">
          <cell r="C12">
            <v>4176.6104089285718</v>
          </cell>
          <cell r="D12">
            <v>0</v>
          </cell>
        </row>
        <row r="13">
          <cell r="C13">
            <v>4232.7888706563708</v>
          </cell>
          <cell r="D13">
            <v>0</v>
          </cell>
        </row>
        <row r="14">
          <cell r="C14">
            <v>4250.8953242835596</v>
          </cell>
          <cell r="D14">
            <v>0</v>
          </cell>
        </row>
        <row r="15">
          <cell r="C15">
            <v>4331.2718363636359</v>
          </cell>
          <cell r="D15">
            <v>0</v>
          </cell>
        </row>
        <row r="16">
          <cell r="C16">
            <v>4338.9802083333334</v>
          </cell>
          <cell r="D16">
            <v>0</v>
          </cell>
        </row>
        <row r="17">
          <cell r="C17">
            <v>4178.86197251462</v>
          </cell>
          <cell r="D17">
            <v>0</v>
          </cell>
        </row>
        <row r="18">
          <cell r="C18">
            <v>4165.3780166666666</v>
          </cell>
          <cell r="D18">
            <v>0</v>
          </cell>
        </row>
        <row r="19">
          <cell r="C19">
            <v>4370.7948615996456</v>
          </cell>
          <cell r="D19">
            <v>0</v>
          </cell>
        </row>
        <row r="20">
          <cell r="C20">
            <v>4235.9344845965243</v>
          </cell>
          <cell r="D20">
            <v>0</v>
          </cell>
        </row>
        <row r="21">
          <cell r="C21">
            <v>4336.6514087497408</v>
          </cell>
          <cell r="D21">
            <v>0</v>
          </cell>
        </row>
        <row r="22">
          <cell r="C22">
            <v>4253.6535822988935</v>
          </cell>
          <cell r="D22">
            <v>0</v>
          </cell>
        </row>
        <row r="23">
          <cell r="C23">
            <v>4257.110930601094</v>
          </cell>
          <cell r="D23">
            <v>0</v>
          </cell>
        </row>
        <row r="24">
          <cell r="C24">
            <v>4270.2166993186584</v>
          </cell>
          <cell r="D24">
            <v>0</v>
          </cell>
        </row>
        <row r="25">
          <cell r="C25">
            <v>4450.2569306205678</v>
          </cell>
          <cell r="D25">
            <v>0</v>
          </cell>
        </row>
        <row r="26">
          <cell r="C26">
            <v>4306.6878848852903</v>
          </cell>
          <cell r="D26">
            <v>0</v>
          </cell>
        </row>
        <row r="27">
          <cell r="C27">
            <v>4275.2857643020598</v>
          </cell>
          <cell r="D27">
            <v>0</v>
          </cell>
        </row>
        <row r="28">
          <cell r="C28">
            <v>4284.0601351351352</v>
          </cell>
          <cell r="D28">
            <v>0</v>
          </cell>
        </row>
        <row r="29">
          <cell r="C29">
            <v>4165.7285410108607</v>
          </cell>
          <cell r="D29">
            <v>0</v>
          </cell>
        </row>
        <row r="30">
          <cell r="C30">
            <v>4049.9842057971005</v>
          </cell>
          <cell r="D30">
            <v>0</v>
          </cell>
        </row>
        <row r="31">
          <cell r="C31">
            <v>4152.6096500000003</v>
          </cell>
          <cell r="D31">
            <v>0</v>
          </cell>
        </row>
        <row r="32">
          <cell r="C32">
            <v>4249.1333333333332</v>
          </cell>
          <cell r="D32">
            <v>0</v>
          </cell>
        </row>
        <row r="33">
          <cell r="C33">
            <v>4304.0505014111568</v>
          </cell>
          <cell r="D33">
            <v>0</v>
          </cell>
        </row>
      </sheetData>
      <sheetData sheetId="4">
        <row r="4">
          <cell r="B4">
            <v>1</v>
          </cell>
          <cell r="D4">
            <v>0</v>
          </cell>
          <cell r="E4">
            <v>0.53333333333333333</v>
          </cell>
          <cell r="F4">
            <v>0.46666666666666667</v>
          </cell>
          <cell r="G4">
            <v>0</v>
          </cell>
          <cell r="H4">
            <v>0</v>
          </cell>
        </row>
        <row r="5">
          <cell r="B5">
            <v>2</v>
          </cell>
          <cell r="D5">
            <v>0</v>
          </cell>
          <cell r="E5">
            <v>0.6</v>
          </cell>
          <cell r="F5">
            <v>0.4</v>
          </cell>
          <cell r="G5">
            <v>0</v>
          </cell>
          <cell r="H5">
            <v>0</v>
          </cell>
        </row>
        <row r="6">
          <cell r="B6">
            <v>3</v>
          </cell>
          <cell r="D6">
            <v>0</v>
          </cell>
          <cell r="E6">
            <v>0.19999999999999998</v>
          </cell>
          <cell r="F6">
            <v>0.8</v>
          </cell>
          <cell r="G6">
            <v>0</v>
          </cell>
          <cell r="H6">
            <v>0</v>
          </cell>
        </row>
        <row r="7">
          <cell r="B7">
            <v>4</v>
          </cell>
          <cell r="D7">
            <v>0</v>
          </cell>
          <cell r="E7">
            <v>0.48333333333333334</v>
          </cell>
          <cell r="F7">
            <v>0.51666666666666661</v>
          </cell>
          <cell r="G7">
            <v>0</v>
          </cell>
          <cell r="H7">
            <v>0</v>
          </cell>
        </row>
        <row r="8">
          <cell r="B8">
            <v>5</v>
          </cell>
          <cell r="D8">
            <v>0</v>
          </cell>
          <cell r="E8">
            <v>0.68333333333333324</v>
          </cell>
          <cell r="F8">
            <v>0.31666666666666676</v>
          </cell>
          <cell r="G8">
            <v>0</v>
          </cell>
          <cell r="H8">
            <v>0</v>
          </cell>
        </row>
        <row r="9">
          <cell r="B9">
            <v>6</v>
          </cell>
          <cell r="D9">
            <v>0</v>
          </cell>
          <cell r="E9">
            <v>0.6166666666666667</v>
          </cell>
          <cell r="F9">
            <v>0.3833333333333333</v>
          </cell>
          <cell r="G9">
            <v>0</v>
          </cell>
          <cell r="H9">
            <v>0</v>
          </cell>
        </row>
        <row r="10">
          <cell r="B10">
            <v>7</v>
          </cell>
          <cell r="D10">
            <v>0</v>
          </cell>
          <cell r="E10">
            <v>0.52500000000000002</v>
          </cell>
          <cell r="F10">
            <v>0.47499999999999998</v>
          </cell>
          <cell r="G10">
            <v>0</v>
          </cell>
          <cell r="H10">
            <v>0</v>
          </cell>
        </row>
        <row r="11">
          <cell r="B11">
            <v>8</v>
          </cell>
          <cell r="D11">
            <v>0</v>
          </cell>
          <cell r="E11">
            <v>0.5</v>
          </cell>
          <cell r="F11">
            <v>0.5</v>
          </cell>
          <cell r="G11">
            <v>0</v>
          </cell>
          <cell r="H11">
            <v>0</v>
          </cell>
        </row>
        <row r="12">
          <cell r="B12">
            <v>9</v>
          </cell>
          <cell r="D12">
            <v>0</v>
          </cell>
          <cell r="E12">
            <v>0.52500000000000002</v>
          </cell>
          <cell r="F12">
            <v>0.47499999999999998</v>
          </cell>
          <cell r="G12">
            <v>0</v>
          </cell>
          <cell r="H12">
            <v>0</v>
          </cell>
        </row>
        <row r="13">
          <cell r="B13">
            <v>10</v>
          </cell>
          <cell r="D13">
            <v>0</v>
          </cell>
          <cell r="E13">
            <v>0.49166666666666664</v>
          </cell>
          <cell r="F13">
            <v>0.5083333333333333</v>
          </cell>
          <cell r="G13">
            <v>0</v>
          </cell>
          <cell r="H13">
            <v>0</v>
          </cell>
        </row>
        <row r="14">
          <cell r="B14">
            <v>11</v>
          </cell>
          <cell r="D14">
            <v>0</v>
          </cell>
          <cell r="E14">
            <v>0.6</v>
          </cell>
          <cell r="F14">
            <v>0.4</v>
          </cell>
          <cell r="G14">
            <v>0</v>
          </cell>
          <cell r="H14">
            <v>0</v>
          </cell>
        </row>
        <row r="15">
          <cell r="B15">
            <v>12</v>
          </cell>
          <cell r="D15">
            <v>0</v>
          </cell>
          <cell r="E15">
            <v>0.76666666666666661</v>
          </cell>
          <cell r="F15">
            <v>0.23333333333333339</v>
          </cell>
          <cell r="G15">
            <v>0</v>
          </cell>
          <cell r="H15">
            <v>0</v>
          </cell>
        </row>
        <row r="16">
          <cell r="B16">
            <v>13</v>
          </cell>
          <cell r="D16">
            <v>0</v>
          </cell>
          <cell r="E16">
            <v>0.73333333333333339</v>
          </cell>
          <cell r="F16">
            <v>0.26666666666666661</v>
          </cell>
          <cell r="G16">
            <v>0</v>
          </cell>
          <cell r="H16">
            <v>0</v>
          </cell>
        </row>
        <row r="17">
          <cell r="B17">
            <v>14</v>
          </cell>
          <cell r="D17">
            <v>0</v>
          </cell>
          <cell r="E17">
            <v>0.3666666666666667</v>
          </cell>
          <cell r="F17">
            <v>0.6333333333333333</v>
          </cell>
          <cell r="G17">
            <v>0</v>
          </cell>
          <cell r="H17">
            <v>0</v>
          </cell>
        </row>
        <row r="18">
          <cell r="B18">
            <v>15</v>
          </cell>
          <cell r="D18">
            <v>0</v>
          </cell>
          <cell r="E18">
            <v>0.45</v>
          </cell>
          <cell r="F18">
            <v>0.55000000000000004</v>
          </cell>
          <cell r="G18">
            <v>0</v>
          </cell>
          <cell r="H18">
            <v>0</v>
          </cell>
        </row>
        <row r="19">
          <cell r="B19">
            <v>16</v>
          </cell>
          <cell r="D19">
            <v>0</v>
          </cell>
          <cell r="E19">
            <v>0.85</v>
          </cell>
          <cell r="F19">
            <v>0.15000000000000002</v>
          </cell>
          <cell r="G19">
            <v>0</v>
          </cell>
          <cell r="H19">
            <v>0</v>
          </cell>
        </row>
        <row r="20">
          <cell r="B20">
            <v>17</v>
          </cell>
          <cell r="D20">
            <v>0</v>
          </cell>
          <cell r="E20">
            <v>0.71666666666666667</v>
          </cell>
          <cell r="F20">
            <v>0.28333333333333333</v>
          </cell>
          <cell r="G20">
            <v>0</v>
          </cell>
          <cell r="H20">
            <v>0</v>
          </cell>
        </row>
        <row r="21">
          <cell r="B21">
            <v>18</v>
          </cell>
          <cell r="D21">
            <v>0</v>
          </cell>
          <cell r="E21">
            <v>0.90833333333333333</v>
          </cell>
          <cell r="F21">
            <v>9.1666666666666674E-2</v>
          </cell>
          <cell r="G21">
            <v>0</v>
          </cell>
          <cell r="H21">
            <v>0</v>
          </cell>
        </row>
        <row r="22">
          <cell r="B22">
            <v>19</v>
          </cell>
          <cell r="D22">
            <v>0</v>
          </cell>
          <cell r="E22">
            <v>0.65</v>
          </cell>
          <cell r="F22">
            <v>0.35</v>
          </cell>
          <cell r="G22">
            <v>0</v>
          </cell>
          <cell r="H22">
            <v>0</v>
          </cell>
        </row>
        <row r="23">
          <cell r="B23">
            <v>20</v>
          </cell>
          <cell r="D23">
            <v>0</v>
          </cell>
          <cell r="E23">
            <v>0.59166666666666667</v>
          </cell>
          <cell r="F23">
            <v>0.40833333333333333</v>
          </cell>
          <cell r="G23">
            <v>0</v>
          </cell>
          <cell r="H23">
            <v>0</v>
          </cell>
        </row>
        <row r="24">
          <cell r="B24">
            <v>21</v>
          </cell>
          <cell r="D24">
            <v>0</v>
          </cell>
          <cell r="E24">
            <v>0.48333333333333334</v>
          </cell>
          <cell r="F24">
            <v>0.51666666666666661</v>
          </cell>
          <cell r="G24">
            <v>0</v>
          </cell>
          <cell r="H24">
            <v>0</v>
          </cell>
        </row>
        <row r="25">
          <cell r="B25">
            <v>22</v>
          </cell>
          <cell r="D25">
            <v>0</v>
          </cell>
          <cell r="E25">
            <v>0.875</v>
          </cell>
          <cell r="F25">
            <v>0.125</v>
          </cell>
          <cell r="G25">
            <v>0</v>
          </cell>
          <cell r="H25">
            <v>0</v>
          </cell>
        </row>
        <row r="26">
          <cell r="B26">
            <v>23</v>
          </cell>
          <cell r="D26">
            <v>0</v>
          </cell>
          <cell r="E26">
            <v>0.56666666666666665</v>
          </cell>
          <cell r="F26">
            <v>0.43333333333333335</v>
          </cell>
          <cell r="G26">
            <v>0</v>
          </cell>
          <cell r="H26">
            <v>0</v>
          </cell>
        </row>
        <row r="27">
          <cell r="B27">
            <v>24</v>
          </cell>
          <cell r="D27">
            <v>0</v>
          </cell>
          <cell r="E27">
            <v>0.67499999999999993</v>
          </cell>
          <cell r="F27">
            <v>0.32500000000000007</v>
          </cell>
          <cell r="G27">
            <v>0</v>
          </cell>
          <cell r="H27">
            <v>0</v>
          </cell>
        </row>
        <row r="28">
          <cell r="B28">
            <v>25</v>
          </cell>
          <cell r="D28">
            <v>0</v>
          </cell>
          <cell r="E28">
            <v>0.60833333333333328</v>
          </cell>
          <cell r="F28">
            <v>0.39166666666666672</v>
          </cell>
          <cell r="G28">
            <v>0</v>
          </cell>
          <cell r="H28">
            <v>0</v>
          </cell>
        </row>
        <row r="29">
          <cell r="B29">
            <v>26</v>
          </cell>
          <cell r="D29">
            <v>0</v>
          </cell>
          <cell r="E29">
            <v>0.45833333333333331</v>
          </cell>
          <cell r="F29">
            <v>0.54166666666666674</v>
          </cell>
          <cell r="G29">
            <v>0</v>
          </cell>
          <cell r="H29">
            <v>0</v>
          </cell>
        </row>
        <row r="30">
          <cell r="B30">
            <v>27</v>
          </cell>
          <cell r="D30">
            <v>0</v>
          </cell>
          <cell r="E30">
            <v>0.125</v>
          </cell>
          <cell r="F30">
            <v>0.875</v>
          </cell>
          <cell r="G30">
            <v>0</v>
          </cell>
          <cell r="H30">
            <v>0</v>
          </cell>
        </row>
        <row r="31">
          <cell r="B31">
            <v>28</v>
          </cell>
          <cell r="D31">
            <v>0</v>
          </cell>
          <cell r="E31">
            <v>0.18333333333333335</v>
          </cell>
          <cell r="F31">
            <v>0.81666666666666665</v>
          </cell>
          <cell r="G31">
            <v>0</v>
          </cell>
          <cell r="H31">
            <v>0</v>
          </cell>
        </row>
        <row r="32">
          <cell r="B32">
            <v>29</v>
          </cell>
          <cell r="D32">
            <v>0</v>
          </cell>
          <cell r="E32">
            <v>0.53333333333333333</v>
          </cell>
          <cell r="F32">
            <v>0.46666666666666667</v>
          </cell>
          <cell r="G32">
            <v>0</v>
          </cell>
          <cell r="H32">
            <v>0</v>
          </cell>
        </row>
        <row r="33">
          <cell r="B33">
            <v>30</v>
          </cell>
          <cell r="D33">
            <v>0</v>
          </cell>
          <cell r="E33">
            <v>0.51666666666666672</v>
          </cell>
          <cell r="F33">
            <v>0.48333333333333328</v>
          </cell>
          <cell r="G33">
            <v>0</v>
          </cell>
          <cell r="H33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ATU"/>
      <sheetName val="Coal Blend"/>
      <sheetName val="Resume Coal Blend"/>
      <sheetName val="Estimasi NPHR"/>
      <sheetName val="UNIT 1"/>
      <sheetName val="UNIT 2"/>
      <sheetName val="UNIT 3"/>
      <sheetName val="COAL BLENDING MARET 2020"/>
      <sheetName val="INPUT DATA"/>
      <sheetName val="kWh Gross"/>
      <sheetName val="MaxMin"/>
    </sheetNames>
    <sheetDataSet>
      <sheetData sheetId="0" refreshError="1"/>
      <sheetData sheetId="1">
        <row r="7">
          <cell r="BV7">
            <v>5.8333333333333327E-2</v>
          </cell>
        </row>
        <row r="23">
          <cell r="BV23">
            <v>0.21666666666666667</v>
          </cell>
        </row>
        <row r="39">
          <cell r="BV39">
            <v>0.43333333333333335</v>
          </cell>
        </row>
        <row r="55">
          <cell r="BV55">
            <v>0.48333333333333334</v>
          </cell>
        </row>
        <row r="71">
          <cell r="BV71">
            <v>0.53333333333333333</v>
          </cell>
        </row>
        <row r="87">
          <cell r="BV87">
            <v>0.29166666666666663</v>
          </cell>
        </row>
        <row r="103">
          <cell r="BV103">
            <v>0.41666666666666669</v>
          </cell>
        </row>
        <row r="119">
          <cell r="BV119">
            <v>0.375</v>
          </cell>
        </row>
        <row r="135">
          <cell r="BV135">
            <v>0.27499999999999997</v>
          </cell>
        </row>
        <row r="151">
          <cell r="BV151">
            <v>0.31666666666666665</v>
          </cell>
        </row>
        <row r="167">
          <cell r="BV167">
            <v>0.46666666666666662</v>
          </cell>
        </row>
        <row r="183">
          <cell r="BV183">
            <v>0.59166666666666667</v>
          </cell>
        </row>
        <row r="199">
          <cell r="BV199">
            <v>0.76666666666666661</v>
          </cell>
        </row>
        <row r="215">
          <cell r="BV215">
            <v>0.76666666666666661</v>
          </cell>
        </row>
        <row r="231">
          <cell r="BV231">
            <v>0.75</v>
          </cell>
        </row>
        <row r="247">
          <cell r="BV247">
            <v>0.56666666666666665</v>
          </cell>
        </row>
        <row r="263">
          <cell r="BV263">
            <v>0.85</v>
          </cell>
        </row>
        <row r="279">
          <cell r="BV279">
            <v>0.46666666666666662</v>
          </cell>
        </row>
        <row r="295">
          <cell r="BV295">
            <v>0.56666666666666676</v>
          </cell>
        </row>
        <row r="311">
          <cell r="BV311">
            <v>0.83333333333333337</v>
          </cell>
        </row>
        <row r="327">
          <cell r="BV327">
            <v>0.67499999999999993</v>
          </cell>
        </row>
        <row r="343">
          <cell r="BV343">
            <v>0.48333333333333323</v>
          </cell>
        </row>
        <row r="359">
          <cell r="BV359">
            <v>0.6</v>
          </cell>
        </row>
        <row r="375">
          <cell r="BV375">
            <v>0.58333333333333337</v>
          </cell>
        </row>
        <row r="391">
          <cell r="BV391">
            <v>0.58333333333333337</v>
          </cell>
        </row>
        <row r="407">
          <cell r="BV407">
            <v>0.46666666666666662</v>
          </cell>
        </row>
        <row r="423">
          <cell r="BV423">
            <v>0.53333333333333333</v>
          </cell>
        </row>
        <row r="439">
          <cell r="BV439">
            <v>0.26666666666666666</v>
          </cell>
        </row>
        <row r="455">
          <cell r="BV455">
            <v>0.75</v>
          </cell>
        </row>
        <row r="471">
          <cell r="BV471">
            <v>0.31666666666666665</v>
          </cell>
        </row>
      </sheetData>
      <sheetData sheetId="2" refreshError="1"/>
      <sheetData sheetId="3">
        <row r="4">
          <cell r="C4">
            <v>4138.5383403348551</v>
          </cell>
          <cell r="D4">
            <v>0</v>
          </cell>
        </row>
        <row r="5">
          <cell r="C5">
            <v>4171.4394035087726</v>
          </cell>
          <cell r="D5">
            <v>0</v>
          </cell>
        </row>
        <row r="6">
          <cell r="C6">
            <v>4313.6857575757576</v>
          </cell>
          <cell r="D6">
            <v>0</v>
          </cell>
        </row>
        <row r="7">
          <cell r="C7">
            <v>4360.7085017543859</v>
          </cell>
          <cell r="D7">
            <v>0</v>
          </cell>
        </row>
        <row r="8">
          <cell r="C8">
            <v>4246.5915869218506</v>
          </cell>
          <cell r="D8">
            <v>0</v>
          </cell>
        </row>
        <row r="9">
          <cell r="C9">
            <v>4313.1660467948723</v>
          </cell>
          <cell r="D9">
            <v>0</v>
          </cell>
        </row>
        <row r="10">
          <cell r="C10">
            <v>4368.8545454545456</v>
          </cell>
          <cell r="D10">
            <v>0</v>
          </cell>
        </row>
        <row r="11">
          <cell r="C11">
            <v>4316.2826241134744</v>
          </cell>
          <cell r="D11">
            <v>0</v>
          </cell>
        </row>
        <row r="12">
          <cell r="C12">
            <v>4280.6628335649148</v>
          </cell>
          <cell r="D12">
            <v>0</v>
          </cell>
        </row>
        <row r="13">
          <cell r="C13">
            <v>4163.9352294837054</v>
          </cell>
          <cell r="D13">
            <v>0</v>
          </cell>
        </row>
        <row r="14">
          <cell r="C14">
            <v>4269.0162333333328</v>
          </cell>
          <cell r="D14">
            <v>0</v>
          </cell>
        </row>
        <row r="15">
          <cell r="C15">
            <v>4373.8844736842102</v>
          </cell>
          <cell r="D15">
            <v>0</v>
          </cell>
        </row>
        <row r="16">
          <cell r="C16">
            <v>4438.6409184766208</v>
          </cell>
          <cell r="D16">
            <v>0</v>
          </cell>
        </row>
        <row r="17">
          <cell r="C17">
            <v>4547.5890922183507</v>
          </cell>
          <cell r="D17">
            <v>0</v>
          </cell>
        </row>
        <row r="18">
          <cell r="C18">
            <v>4496.7346555555559</v>
          </cell>
          <cell r="D18">
            <v>0</v>
          </cell>
        </row>
        <row r="19">
          <cell r="C19">
            <v>4376.856758417508</v>
          </cell>
          <cell r="D19">
            <v>0</v>
          </cell>
        </row>
        <row r="20">
          <cell r="C20">
            <v>4464.4155399332303</v>
          </cell>
          <cell r="D20">
            <v>0</v>
          </cell>
        </row>
        <row r="21">
          <cell r="C21">
            <v>4324.9081999999999</v>
          </cell>
          <cell r="D21">
            <v>0</v>
          </cell>
        </row>
        <row r="22">
          <cell r="C22">
            <v>4229.7174698658409</v>
          </cell>
          <cell r="D22">
            <v>0</v>
          </cell>
        </row>
        <row r="23">
          <cell r="C23">
            <v>4408.2623188405805</v>
          </cell>
          <cell r="D23">
            <v>0</v>
          </cell>
        </row>
        <row r="24">
          <cell r="C24">
            <v>4471.0897849462372</v>
          </cell>
          <cell r="D24">
            <v>0</v>
          </cell>
        </row>
        <row r="25">
          <cell r="C25">
            <v>4341.1749111584932</v>
          </cell>
          <cell r="D25">
            <v>0</v>
          </cell>
        </row>
        <row r="26">
          <cell r="C26">
            <v>4490.484951206985</v>
          </cell>
          <cell r="D26">
            <v>0</v>
          </cell>
        </row>
        <row r="27">
          <cell r="C27">
            <v>4429.4285714285716</v>
          </cell>
          <cell r="D27">
            <v>0</v>
          </cell>
        </row>
        <row r="28">
          <cell r="C28">
            <v>4332.5862535612532</v>
          </cell>
          <cell r="D28">
            <v>0</v>
          </cell>
        </row>
        <row r="29">
          <cell r="C29">
            <v>4345.1180867721878</v>
          </cell>
          <cell r="D29">
            <v>0</v>
          </cell>
        </row>
        <row r="30">
          <cell r="C30">
            <v>4500.5590909090906</v>
          </cell>
          <cell r="D30">
            <v>0</v>
          </cell>
        </row>
        <row r="31">
          <cell r="C31">
            <v>4313.5439097744356</v>
          </cell>
          <cell r="D31">
            <v>0</v>
          </cell>
        </row>
        <row r="32">
          <cell r="C32">
            <v>4436.395833333333</v>
          </cell>
          <cell r="D32">
            <v>0</v>
          </cell>
        </row>
        <row r="33">
          <cell r="C33">
            <v>4408.1364105603443</v>
          </cell>
          <cell r="D33">
            <v>0</v>
          </cell>
        </row>
      </sheetData>
      <sheetData sheetId="4">
        <row r="4">
          <cell r="B4">
            <v>1</v>
          </cell>
          <cell r="D4">
            <v>0</v>
          </cell>
          <cell r="E4">
            <v>5.8333333333333327E-2</v>
          </cell>
          <cell r="F4">
            <v>0.94166666666666665</v>
          </cell>
          <cell r="G4">
            <v>0</v>
          </cell>
          <cell r="H4">
            <v>0</v>
          </cell>
        </row>
        <row r="5">
          <cell r="B5">
            <v>2</v>
          </cell>
          <cell r="D5">
            <v>0</v>
          </cell>
          <cell r="E5">
            <v>0.21666666666666667</v>
          </cell>
          <cell r="F5">
            <v>0.78333333333333333</v>
          </cell>
          <cell r="G5">
            <v>0</v>
          </cell>
          <cell r="H5">
            <v>0</v>
          </cell>
        </row>
        <row r="6">
          <cell r="B6">
            <v>3</v>
          </cell>
          <cell r="D6">
            <v>0</v>
          </cell>
          <cell r="E6">
            <v>0.43333333333333335</v>
          </cell>
          <cell r="F6">
            <v>0.56666666666666665</v>
          </cell>
          <cell r="G6">
            <v>0</v>
          </cell>
          <cell r="H6">
            <v>0</v>
          </cell>
        </row>
        <row r="7">
          <cell r="B7">
            <v>4</v>
          </cell>
          <cell r="D7">
            <v>0</v>
          </cell>
          <cell r="E7">
            <v>0.48333333333333334</v>
          </cell>
          <cell r="F7">
            <v>0.51666666666666661</v>
          </cell>
          <cell r="G7">
            <v>0</v>
          </cell>
          <cell r="H7">
            <v>0</v>
          </cell>
        </row>
        <row r="8">
          <cell r="B8">
            <v>5</v>
          </cell>
          <cell r="D8">
            <v>0</v>
          </cell>
          <cell r="E8">
            <v>0.53333333333333333</v>
          </cell>
          <cell r="F8">
            <v>0.46666666666666667</v>
          </cell>
          <cell r="G8">
            <v>0</v>
          </cell>
          <cell r="H8">
            <v>0</v>
          </cell>
        </row>
        <row r="9">
          <cell r="B9">
            <v>6</v>
          </cell>
          <cell r="D9">
            <v>0</v>
          </cell>
          <cell r="E9">
            <v>0.29166666666666663</v>
          </cell>
          <cell r="F9">
            <v>0.70833333333333337</v>
          </cell>
          <cell r="G9">
            <v>0</v>
          </cell>
          <cell r="H9">
            <v>0</v>
          </cell>
        </row>
        <row r="10">
          <cell r="B10">
            <v>7</v>
          </cell>
          <cell r="D10">
            <v>0</v>
          </cell>
          <cell r="E10">
            <v>0.41666666666666669</v>
          </cell>
          <cell r="F10">
            <v>0.58333333333333326</v>
          </cell>
          <cell r="G10">
            <v>0</v>
          </cell>
          <cell r="H10">
            <v>0</v>
          </cell>
        </row>
        <row r="11">
          <cell r="B11">
            <v>8</v>
          </cell>
          <cell r="D11">
            <v>0</v>
          </cell>
          <cell r="E11">
            <v>0.375</v>
          </cell>
          <cell r="F11">
            <v>0.625</v>
          </cell>
          <cell r="G11">
            <v>0</v>
          </cell>
          <cell r="H11">
            <v>0</v>
          </cell>
        </row>
        <row r="12">
          <cell r="B12">
            <v>9</v>
          </cell>
          <cell r="D12">
            <v>0</v>
          </cell>
          <cell r="E12">
            <v>0.27499999999999997</v>
          </cell>
          <cell r="F12">
            <v>0.72500000000000009</v>
          </cell>
          <cell r="G12">
            <v>0</v>
          </cell>
          <cell r="H12">
            <v>0</v>
          </cell>
        </row>
        <row r="13">
          <cell r="B13">
            <v>10</v>
          </cell>
          <cell r="D13">
            <v>0</v>
          </cell>
          <cell r="E13">
            <v>0.31666666666666665</v>
          </cell>
          <cell r="F13">
            <v>0.68333333333333335</v>
          </cell>
          <cell r="G13">
            <v>0</v>
          </cell>
          <cell r="H13">
            <v>0</v>
          </cell>
        </row>
        <row r="14">
          <cell r="B14">
            <v>11</v>
          </cell>
          <cell r="D14">
            <v>0</v>
          </cell>
          <cell r="E14">
            <v>0.46666666666666662</v>
          </cell>
          <cell r="F14">
            <v>0.53333333333333344</v>
          </cell>
          <cell r="G14">
            <v>0</v>
          </cell>
          <cell r="H14">
            <v>0</v>
          </cell>
        </row>
        <row r="15">
          <cell r="B15">
            <v>12</v>
          </cell>
          <cell r="D15">
            <v>0</v>
          </cell>
          <cell r="E15">
            <v>0.59166666666666667</v>
          </cell>
          <cell r="F15">
            <v>0.40833333333333333</v>
          </cell>
          <cell r="G15">
            <v>0</v>
          </cell>
          <cell r="H15">
            <v>0</v>
          </cell>
        </row>
        <row r="16">
          <cell r="B16">
            <v>13</v>
          </cell>
          <cell r="D16">
            <v>0</v>
          </cell>
          <cell r="E16">
            <v>0.76666666666666661</v>
          </cell>
          <cell r="F16">
            <v>0.23333333333333339</v>
          </cell>
          <cell r="G16">
            <v>0</v>
          </cell>
          <cell r="H16">
            <v>0</v>
          </cell>
        </row>
        <row r="17">
          <cell r="B17">
            <v>14</v>
          </cell>
          <cell r="D17">
            <v>0</v>
          </cell>
          <cell r="E17">
            <v>0.76666666666666661</v>
          </cell>
          <cell r="F17">
            <v>0.23333333333333339</v>
          </cell>
          <cell r="G17">
            <v>0</v>
          </cell>
          <cell r="H17">
            <v>0</v>
          </cell>
        </row>
        <row r="18">
          <cell r="B18">
            <v>15</v>
          </cell>
          <cell r="D18">
            <v>0</v>
          </cell>
          <cell r="E18">
            <v>0.75</v>
          </cell>
          <cell r="F18">
            <v>0.25</v>
          </cell>
          <cell r="G18">
            <v>0</v>
          </cell>
          <cell r="H18">
            <v>0</v>
          </cell>
        </row>
        <row r="19">
          <cell r="B19">
            <v>16</v>
          </cell>
          <cell r="D19">
            <v>0</v>
          </cell>
          <cell r="E19">
            <v>0.56666666666666665</v>
          </cell>
          <cell r="F19">
            <v>0.43333333333333335</v>
          </cell>
          <cell r="G19">
            <v>0</v>
          </cell>
          <cell r="H19">
            <v>0</v>
          </cell>
        </row>
        <row r="20">
          <cell r="B20">
            <v>17</v>
          </cell>
          <cell r="D20">
            <v>0</v>
          </cell>
          <cell r="E20">
            <v>0.85</v>
          </cell>
          <cell r="F20">
            <v>0.15000000000000002</v>
          </cell>
          <cell r="G20">
            <v>0</v>
          </cell>
          <cell r="H20">
            <v>0</v>
          </cell>
        </row>
        <row r="21">
          <cell r="B21">
            <v>18</v>
          </cell>
          <cell r="D21">
            <v>0</v>
          </cell>
          <cell r="E21">
            <v>0.46666666666666662</v>
          </cell>
          <cell r="F21">
            <v>0.53333333333333344</v>
          </cell>
          <cell r="G21">
            <v>0</v>
          </cell>
          <cell r="H21">
            <v>0</v>
          </cell>
        </row>
        <row r="22">
          <cell r="B22">
            <v>19</v>
          </cell>
          <cell r="D22">
            <v>0</v>
          </cell>
          <cell r="E22">
            <v>0.56666666666666676</v>
          </cell>
          <cell r="F22">
            <v>0.43333333333333324</v>
          </cell>
          <cell r="G22">
            <v>0</v>
          </cell>
          <cell r="H22">
            <v>0</v>
          </cell>
        </row>
        <row r="23">
          <cell r="B23">
            <v>20</v>
          </cell>
          <cell r="D23">
            <v>0</v>
          </cell>
          <cell r="E23">
            <v>0.83333333333333337</v>
          </cell>
          <cell r="F23">
            <v>0.16666666666666663</v>
          </cell>
          <cell r="G23">
            <v>0</v>
          </cell>
          <cell r="H23">
            <v>0</v>
          </cell>
        </row>
        <row r="24">
          <cell r="B24">
            <v>21</v>
          </cell>
          <cell r="D24">
            <v>0</v>
          </cell>
          <cell r="E24">
            <v>0.67499999999999993</v>
          </cell>
          <cell r="F24">
            <v>0.32500000000000007</v>
          </cell>
          <cell r="G24">
            <v>0</v>
          </cell>
          <cell r="H24">
            <v>0</v>
          </cell>
        </row>
        <row r="25">
          <cell r="B25">
            <v>22</v>
          </cell>
          <cell r="D25">
            <v>0</v>
          </cell>
          <cell r="E25">
            <v>0.48333333333333323</v>
          </cell>
          <cell r="F25">
            <v>0.51666666666666683</v>
          </cell>
          <cell r="G25">
            <v>0</v>
          </cell>
          <cell r="H25">
            <v>0</v>
          </cell>
        </row>
        <row r="26">
          <cell r="B26">
            <v>23</v>
          </cell>
          <cell r="D26">
            <v>0</v>
          </cell>
          <cell r="E26">
            <v>0.6</v>
          </cell>
          <cell r="F26">
            <v>0.4</v>
          </cell>
          <cell r="G26">
            <v>0</v>
          </cell>
          <cell r="H26">
            <v>0</v>
          </cell>
        </row>
        <row r="27">
          <cell r="B27">
            <v>24</v>
          </cell>
          <cell r="D27">
            <v>0</v>
          </cell>
          <cell r="E27">
            <v>0.58333333333333337</v>
          </cell>
          <cell r="F27">
            <v>0.41666666666666663</v>
          </cell>
          <cell r="G27">
            <v>0</v>
          </cell>
          <cell r="H27">
            <v>0</v>
          </cell>
        </row>
        <row r="28">
          <cell r="B28">
            <v>25</v>
          </cell>
          <cell r="D28">
            <v>0</v>
          </cell>
          <cell r="E28">
            <v>0.58333333333333337</v>
          </cell>
          <cell r="F28">
            <v>0.41666666666666663</v>
          </cell>
          <cell r="G28">
            <v>0</v>
          </cell>
          <cell r="H28">
            <v>0</v>
          </cell>
        </row>
        <row r="29">
          <cell r="B29">
            <v>26</v>
          </cell>
          <cell r="D29">
            <v>0</v>
          </cell>
          <cell r="E29">
            <v>0.46666666666666662</v>
          </cell>
          <cell r="F29">
            <v>0.53333333333333344</v>
          </cell>
          <cell r="G29">
            <v>0</v>
          </cell>
          <cell r="H29">
            <v>0</v>
          </cell>
        </row>
        <row r="30">
          <cell r="B30">
            <v>27</v>
          </cell>
          <cell r="D30">
            <v>0</v>
          </cell>
          <cell r="E30">
            <v>0.53333333333333333</v>
          </cell>
          <cell r="F30">
            <v>0.46666666666666667</v>
          </cell>
          <cell r="G30">
            <v>0</v>
          </cell>
          <cell r="H30">
            <v>0</v>
          </cell>
        </row>
        <row r="31">
          <cell r="B31">
            <v>28</v>
          </cell>
          <cell r="D31">
            <v>0</v>
          </cell>
          <cell r="E31">
            <v>0.26666666666666666</v>
          </cell>
          <cell r="F31">
            <v>0.73333333333333339</v>
          </cell>
          <cell r="G31">
            <v>0</v>
          </cell>
          <cell r="H31">
            <v>0</v>
          </cell>
        </row>
        <row r="32">
          <cell r="B32">
            <v>29</v>
          </cell>
          <cell r="D32">
            <v>0</v>
          </cell>
          <cell r="E32">
            <v>0.75</v>
          </cell>
          <cell r="F32">
            <v>0.25</v>
          </cell>
          <cell r="G32">
            <v>0</v>
          </cell>
          <cell r="H32">
            <v>0</v>
          </cell>
        </row>
        <row r="33">
          <cell r="B33">
            <v>30</v>
          </cell>
          <cell r="D33">
            <v>0</v>
          </cell>
          <cell r="E33">
            <v>0.31666666666666665</v>
          </cell>
          <cell r="F33">
            <v>0.68333333333333335</v>
          </cell>
          <cell r="G33">
            <v>0</v>
          </cell>
          <cell r="H33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ATU"/>
      <sheetName val="Coal Blend"/>
      <sheetName val="Resume Coal Blend"/>
      <sheetName val="Estimasi NPHR"/>
      <sheetName val="UNIT 1"/>
      <sheetName val="UNIT 2"/>
      <sheetName val="UNIT 3"/>
      <sheetName val="COAL BLENDING MARET 2020"/>
      <sheetName val="INPUT DATA"/>
      <sheetName val="kWh Gross"/>
      <sheetName val="MaxMin"/>
    </sheetNames>
    <sheetDataSet>
      <sheetData sheetId="0" refreshError="1"/>
      <sheetData sheetId="1">
        <row r="7">
          <cell r="BV7">
            <v>0.4916666666666667</v>
          </cell>
        </row>
        <row r="23">
          <cell r="BV23">
            <v>0.65833333333333333</v>
          </cell>
        </row>
        <row r="39">
          <cell r="BV39">
            <v>0.79999999999999993</v>
          </cell>
        </row>
        <row r="55">
          <cell r="BV55">
            <v>0.8833333333333333</v>
          </cell>
        </row>
        <row r="71">
          <cell r="BV71">
            <v>0.6</v>
          </cell>
        </row>
        <row r="87">
          <cell r="BV87">
            <v>0.57500000000000007</v>
          </cell>
        </row>
        <row r="103">
          <cell r="BV103">
            <v>0.67499999999999993</v>
          </cell>
        </row>
        <row r="119">
          <cell r="BV119">
            <v>0.6333333333333333</v>
          </cell>
        </row>
        <row r="135">
          <cell r="BV135">
            <v>0.9</v>
          </cell>
        </row>
        <row r="151">
          <cell r="BV151">
            <v>0.54999999999999993</v>
          </cell>
        </row>
        <row r="167">
          <cell r="BV167">
            <v>0.53333333333333333</v>
          </cell>
        </row>
        <row r="183">
          <cell r="BV183">
            <v>0.53333333333333333</v>
          </cell>
        </row>
        <row r="199">
          <cell r="BV199">
            <v>0.55833333333333335</v>
          </cell>
        </row>
        <row r="215">
          <cell r="BV215">
            <v>0.83333333333333337</v>
          </cell>
        </row>
        <row r="231">
          <cell r="BV231">
            <v>0.61666666666666659</v>
          </cell>
        </row>
        <row r="247">
          <cell r="BV247">
            <v>0.3833333333333333</v>
          </cell>
        </row>
        <row r="263">
          <cell r="BV263">
            <v>0.16666666666666666</v>
          </cell>
        </row>
        <row r="279">
          <cell r="BV279">
            <v>0.48333333333333339</v>
          </cell>
        </row>
        <row r="295">
          <cell r="BV295">
            <v>0.71666666666666679</v>
          </cell>
        </row>
        <row r="311">
          <cell r="BV311">
            <v>0.51666666666666672</v>
          </cell>
        </row>
        <row r="327">
          <cell r="BV327">
            <v>0.53333333333333333</v>
          </cell>
        </row>
        <row r="343">
          <cell r="BV343">
            <v>0.73333333333333328</v>
          </cell>
        </row>
        <row r="359">
          <cell r="BV359">
            <v>0.9</v>
          </cell>
        </row>
        <row r="375">
          <cell r="BV375">
            <v>0.75</v>
          </cell>
        </row>
        <row r="391">
          <cell r="BV391">
            <v>0.6</v>
          </cell>
        </row>
        <row r="407">
          <cell r="BV407">
            <v>0.68333333333333324</v>
          </cell>
        </row>
        <row r="423">
          <cell r="BV423">
            <v>0.76666666666666661</v>
          </cell>
        </row>
        <row r="439">
          <cell r="BV439">
            <v>0.68333333333333324</v>
          </cell>
        </row>
        <row r="455">
          <cell r="BV455">
            <v>0.6166666666666667</v>
          </cell>
        </row>
        <row r="471">
          <cell r="BV471">
            <v>0.75</v>
          </cell>
        </row>
      </sheetData>
      <sheetData sheetId="2" refreshError="1"/>
      <sheetData sheetId="3">
        <row r="4">
          <cell r="C4">
            <v>4302.9469960172128</v>
          </cell>
          <cell r="D4">
            <v>0</v>
          </cell>
        </row>
        <row r="5">
          <cell r="C5">
            <v>4315.0362842360382</v>
          </cell>
          <cell r="D5">
            <v>0</v>
          </cell>
        </row>
        <row r="6">
          <cell r="C6">
            <v>4371.5365837191357</v>
          </cell>
          <cell r="D6">
            <v>0</v>
          </cell>
        </row>
        <row r="7">
          <cell r="C7">
            <v>4499.8165901262919</v>
          </cell>
          <cell r="D7">
            <v>0</v>
          </cell>
        </row>
        <row r="8">
          <cell r="C8">
            <v>4505.4833333333336</v>
          </cell>
          <cell r="D8">
            <v>0</v>
          </cell>
        </row>
        <row r="9">
          <cell r="C9">
            <v>4409.034693877551</v>
          </cell>
          <cell r="D9">
            <v>0</v>
          </cell>
        </row>
        <row r="10">
          <cell r="C10">
            <v>4311.6591227190811</v>
          </cell>
          <cell r="D10">
            <v>0</v>
          </cell>
        </row>
        <row r="11">
          <cell r="C11">
            <v>4335.3689385743473</v>
          </cell>
          <cell r="D11">
            <v>0</v>
          </cell>
        </row>
        <row r="12">
          <cell r="C12">
            <v>4352.6145593869724</v>
          </cell>
          <cell r="D12">
            <v>0</v>
          </cell>
        </row>
        <row r="13">
          <cell r="C13">
            <v>4377.4584905660377</v>
          </cell>
          <cell r="D13">
            <v>0</v>
          </cell>
        </row>
        <row r="14">
          <cell r="C14">
            <v>4532.2</v>
          </cell>
          <cell r="D14">
            <v>0</v>
          </cell>
        </row>
        <row r="15">
          <cell r="C15">
            <v>4535.5333333333338</v>
          </cell>
          <cell r="D15">
            <v>0</v>
          </cell>
        </row>
        <row r="16">
          <cell r="C16">
            <v>4483.2862179487174</v>
          </cell>
          <cell r="D16">
            <v>0</v>
          </cell>
        </row>
        <row r="17">
          <cell r="C17">
            <v>4448.1243380614651</v>
          </cell>
          <cell r="D17">
            <v>0</v>
          </cell>
        </row>
        <row r="18">
          <cell r="C18">
            <v>4386.8598870056494</v>
          </cell>
          <cell r="D18">
            <v>0</v>
          </cell>
        </row>
        <row r="19">
          <cell r="C19">
            <v>4338.0627450980392</v>
          </cell>
          <cell r="D19">
            <v>0</v>
          </cell>
        </row>
        <row r="20">
          <cell r="C20">
            <v>4170.6855080459763</v>
          </cell>
          <cell r="D20">
            <v>0</v>
          </cell>
        </row>
        <row r="21">
          <cell r="C21">
            <v>4198.0859287356325</v>
          </cell>
          <cell r="D21">
            <v>0</v>
          </cell>
        </row>
        <row r="22">
          <cell r="C22">
            <v>4299.6117588652487</v>
          </cell>
          <cell r="D22">
            <v>0</v>
          </cell>
        </row>
        <row r="23">
          <cell r="C23">
            <v>4206.5716666666667</v>
          </cell>
          <cell r="D23">
            <v>0</v>
          </cell>
        </row>
        <row r="24">
          <cell r="C24">
            <v>4285.8906570085146</v>
          </cell>
          <cell r="D24">
            <v>0</v>
          </cell>
        </row>
        <row r="25">
          <cell r="C25">
            <v>4459.5046157786883</v>
          </cell>
          <cell r="D25">
            <v>0</v>
          </cell>
        </row>
        <row r="26">
          <cell r="C26">
            <v>4489.8127186009542</v>
          </cell>
          <cell r="D26">
            <v>0</v>
          </cell>
        </row>
        <row r="27">
          <cell r="C27">
            <v>4350.0272435897432</v>
          </cell>
          <cell r="D27">
            <v>0</v>
          </cell>
        </row>
        <row r="28">
          <cell r="C28">
            <v>4330.3730843653257</v>
          </cell>
          <cell r="D28">
            <v>0</v>
          </cell>
        </row>
        <row r="29">
          <cell r="C29">
            <v>4399.8109756097556</v>
          </cell>
          <cell r="D29">
            <v>0</v>
          </cell>
        </row>
        <row r="30">
          <cell r="C30">
            <v>4395.8087719298246</v>
          </cell>
          <cell r="D30">
            <v>0</v>
          </cell>
        </row>
        <row r="31">
          <cell r="C31">
            <v>4341.3833333333332</v>
          </cell>
          <cell r="D31">
            <v>0</v>
          </cell>
        </row>
        <row r="32">
          <cell r="C32">
            <v>4405.6315789473683</v>
          </cell>
          <cell r="D32">
            <v>0</v>
          </cell>
        </row>
        <row r="33">
          <cell r="C33">
            <v>4321.4367320634919</v>
          </cell>
          <cell r="D33">
            <v>0</v>
          </cell>
        </row>
      </sheetData>
      <sheetData sheetId="4">
        <row r="4">
          <cell r="B4">
            <v>1</v>
          </cell>
          <cell r="D4">
            <v>0</v>
          </cell>
          <cell r="E4">
            <v>0.4916666666666667</v>
          </cell>
          <cell r="F4">
            <v>0.5083333333333333</v>
          </cell>
          <cell r="G4">
            <v>0</v>
          </cell>
          <cell r="H4">
            <v>0</v>
          </cell>
        </row>
        <row r="5">
          <cell r="B5">
            <v>2</v>
          </cell>
          <cell r="D5">
            <v>0</v>
          </cell>
          <cell r="E5">
            <v>0.65833333333333333</v>
          </cell>
          <cell r="F5">
            <v>0.34166666666666667</v>
          </cell>
          <cell r="G5">
            <v>0</v>
          </cell>
          <cell r="H5">
            <v>0</v>
          </cell>
        </row>
        <row r="6">
          <cell r="B6">
            <v>3</v>
          </cell>
          <cell r="D6">
            <v>0</v>
          </cell>
          <cell r="E6">
            <v>0.79999999999999993</v>
          </cell>
          <cell r="F6">
            <v>0.20000000000000007</v>
          </cell>
          <cell r="G6">
            <v>0</v>
          </cell>
          <cell r="H6">
            <v>0</v>
          </cell>
        </row>
        <row r="7">
          <cell r="B7">
            <v>4</v>
          </cell>
          <cell r="D7">
            <v>0</v>
          </cell>
          <cell r="E7">
            <v>0.8833333333333333</v>
          </cell>
          <cell r="F7">
            <v>0.1166666666666667</v>
          </cell>
          <cell r="G7">
            <v>0</v>
          </cell>
          <cell r="H7">
            <v>0</v>
          </cell>
        </row>
        <row r="8">
          <cell r="B8">
            <v>5</v>
          </cell>
          <cell r="D8">
            <v>0</v>
          </cell>
          <cell r="E8">
            <v>0.6</v>
          </cell>
          <cell r="F8">
            <v>0.4</v>
          </cell>
          <cell r="G8">
            <v>0</v>
          </cell>
          <cell r="H8">
            <v>0</v>
          </cell>
        </row>
        <row r="9">
          <cell r="B9">
            <v>6</v>
          </cell>
          <cell r="D9">
            <v>0</v>
          </cell>
          <cell r="E9">
            <v>0.57500000000000007</v>
          </cell>
          <cell r="F9">
            <v>0.42499999999999993</v>
          </cell>
          <cell r="G9">
            <v>0</v>
          </cell>
          <cell r="H9">
            <v>0</v>
          </cell>
        </row>
        <row r="10">
          <cell r="B10">
            <v>7</v>
          </cell>
          <cell r="D10">
            <v>0</v>
          </cell>
          <cell r="E10">
            <v>0.67499999999999993</v>
          </cell>
          <cell r="F10">
            <v>0.32500000000000007</v>
          </cell>
          <cell r="G10">
            <v>0</v>
          </cell>
          <cell r="H10">
            <v>0</v>
          </cell>
        </row>
        <row r="11">
          <cell r="B11">
            <v>8</v>
          </cell>
          <cell r="D11">
            <v>0</v>
          </cell>
          <cell r="E11">
            <v>0.6333333333333333</v>
          </cell>
          <cell r="F11">
            <v>0.3666666666666667</v>
          </cell>
          <cell r="G11">
            <v>0</v>
          </cell>
          <cell r="H11">
            <v>0</v>
          </cell>
        </row>
        <row r="12">
          <cell r="B12">
            <v>9</v>
          </cell>
          <cell r="D12">
            <v>0</v>
          </cell>
          <cell r="E12">
            <v>0.9</v>
          </cell>
          <cell r="F12">
            <v>9.9999999999999978E-2</v>
          </cell>
          <cell r="G12">
            <v>0</v>
          </cell>
          <cell r="H12">
            <v>0</v>
          </cell>
        </row>
        <row r="13">
          <cell r="B13">
            <v>10</v>
          </cell>
          <cell r="D13">
            <v>0</v>
          </cell>
          <cell r="E13">
            <v>0.54999999999999993</v>
          </cell>
          <cell r="F13">
            <v>0.45000000000000007</v>
          </cell>
          <cell r="G13">
            <v>0</v>
          </cell>
          <cell r="H13">
            <v>0</v>
          </cell>
        </row>
        <row r="14">
          <cell r="B14">
            <v>11</v>
          </cell>
          <cell r="D14">
            <v>0</v>
          </cell>
          <cell r="E14">
            <v>0.53333333333333333</v>
          </cell>
          <cell r="F14">
            <v>0.46666666666666667</v>
          </cell>
          <cell r="G14">
            <v>0</v>
          </cell>
          <cell r="H14">
            <v>0</v>
          </cell>
        </row>
        <row r="15">
          <cell r="B15">
            <v>12</v>
          </cell>
          <cell r="D15">
            <v>0</v>
          </cell>
          <cell r="E15">
            <v>0.53333333333333333</v>
          </cell>
          <cell r="F15">
            <v>0.46666666666666667</v>
          </cell>
          <cell r="G15">
            <v>0</v>
          </cell>
          <cell r="H15">
            <v>0</v>
          </cell>
        </row>
        <row r="16">
          <cell r="B16">
            <v>13</v>
          </cell>
          <cell r="D16">
            <v>0</v>
          </cell>
          <cell r="E16">
            <v>0.55833333333333335</v>
          </cell>
          <cell r="F16">
            <v>0.44166666666666665</v>
          </cell>
          <cell r="G16">
            <v>0</v>
          </cell>
          <cell r="H16">
            <v>0</v>
          </cell>
        </row>
        <row r="17">
          <cell r="B17">
            <v>14</v>
          </cell>
          <cell r="D17">
            <v>0</v>
          </cell>
          <cell r="E17">
            <v>0.83333333333333337</v>
          </cell>
          <cell r="F17">
            <v>0.16666666666666663</v>
          </cell>
          <cell r="G17">
            <v>0</v>
          </cell>
          <cell r="H17">
            <v>0</v>
          </cell>
        </row>
        <row r="18">
          <cell r="B18">
            <v>15</v>
          </cell>
          <cell r="D18">
            <v>0</v>
          </cell>
          <cell r="E18">
            <v>0.61666666666666659</v>
          </cell>
          <cell r="F18">
            <v>0.38333333333333341</v>
          </cell>
          <cell r="G18">
            <v>0</v>
          </cell>
          <cell r="H18">
            <v>0</v>
          </cell>
        </row>
        <row r="19">
          <cell r="B19">
            <v>16</v>
          </cell>
          <cell r="D19">
            <v>0</v>
          </cell>
          <cell r="E19">
            <v>0.3833333333333333</v>
          </cell>
          <cell r="F19">
            <v>0.6166666666666667</v>
          </cell>
          <cell r="G19">
            <v>0</v>
          </cell>
          <cell r="H19">
            <v>0</v>
          </cell>
        </row>
        <row r="20">
          <cell r="B20">
            <v>17</v>
          </cell>
          <cell r="D20">
            <v>0</v>
          </cell>
          <cell r="E20">
            <v>0.16666666666666666</v>
          </cell>
          <cell r="F20">
            <v>0.83333333333333337</v>
          </cell>
          <cell r="G20">
            <v>0</v>
          </cell>
          <cell r="H20">
            <v>0</v>
          </cell>
        </row>
        <row r="21">
          <cell r="B21">
            <v>18</v>
          </cell>
          <cell r="D21">
            <v>0</v>
          </cell>
          <cell r="E21">
            <v>0.48333333333333339</v>
          </cell>
          <cell r="F21">
            <v>0.51666666666666661</v>
          </cell>
          <cell r="G21">
            <v>0</v>
          </cell>
          <cell r="H21">
            <v>0</v>
          </cell>
        </row>
        <row r="22">
          <cell r="B22">
            <v>19</v>
          </cell>
          <cell r="D22">
            <v>0</v>
          </cell>
          <cell r="E22">
            <v>0.71666666666666679</v>
          </cell>
          <cell r="F22">
            <v>0.28333333333333321</v>
          </cell>
          <cell r="G22">
            <v>0</v>
          </cell>
          <cell r="H22">
            <v>0</v>
          </cell>
        </row>
        <row r="23">
          <cell r="B23">
            <v>20</v>
          </cell>
          <cell r="D23">
            <v>0</v>
          </cell>
          <cell r="E23">
            <v>0.51666666666666672</v>
          </cell>
          <cell r="F23">
            <v>0.48333333333333328</v>
          </cell>
          <cell r="G23">
            <v>0</v>
          </cell>
          <cell r="H23">
            <v>0</v>
          </cell>
        </row>
        <row r="24">
          <cell r="B24">
            <v>21</v>
          </cell>
          <cell r="D24">
            <v>0</v>
          </cell>
          <cell r="E24">
            <v>0.53333333333333333</v>
          </cell>
          <cell r="F24">
            <v>0.46666666666666667</v>
          </cell>
          <cell r="G24">
            <v>0</v>
          </cell>
          <cell r="H24">
            <v>0</v>
          </cell>
        </row>
        <row r="25">
          <cell r="B25">
            <v>22</v>
          </cell>
          <cell r="D25">
            <v>0</v>
          </cell>
          <cell r="E25">
            <v>0.73333333333333328</v>
          </cell>
          <cell r="F25">
            <v>0.26666666666666672</v>
          </cell>
          <cell r="G25">
            <v>0</v>
          </cell>
          <cell r="H25">
            <v>0</v>
          </cell>
        </row>
        <row r="26">
          <cell r="B26">
            <v>23</v>
          </cell>
          <cell r="D26">
            <v>0</v>
          </cell>
          <cell r="E26">
            <v>0.9</v>
          </cell>
          <cell r="F26">
            <v>9.9999999999999978E-2</v>
          </cell>
          <cell r="G26">
            <v>0</v>
          </cell>
          <cell r="H26">
            <v>0</v>
          </cell>
        </row>
        <row r="27">
          <cell r="B27">
            <v>24</v>
          </cell>
          <cell r="D27">
            <v>0</v>
          </cell>
          <cell r="E27">
            <v>0.75</v>
          </cell>
          <cell r="F27">
            <v>0.25</v>
          </cell>
          <cell r="G27">
            <v>0</v>
          </cell>
          <cell r="H27">
            <v>0</v>
          </cell>
        </row>
        <row r="28">
          <cell r="B28">
            <v>25</v>
          </cell>
          <cell r="D28">
            <v>0</v>
          </cell>
          <cell r="E28">
            <v>0.6</v>
          </cell>
          <cell r="F28">
            <v>0.4</v>
          </cell>
          <cell r="G28">
            <v>0</v>
          </cell>
          <cell r="H28">
            <v>0</v>
          </cell>
        </row>
        <row r="29">
          <cell r="B29">
            <v>26</v>
          </cell>
          <cell r="D29">
            <v>0</v>
          </cell>
          <cell r="E29">
            <v>0.68333333333333324</v>
          </cell>
          <cell r="F29">
            <v>0.31666666666666676</v>
          </cell>
          <cell r="G29">
            <v>0</v>
          </cell>
          <cell r="H29">
            <v>0</v>
          </cell>
        </row>
        <row r="30">
          <cell r="B30">
            <v>27</v>
          </cell>
          <cell r="D30">
            <v>0</v>
          </cell>
          <cell r="E30">
            <v>0.76666666666666661</v>
          </cell>
          <cell r="F30">
            <v>0.23333333333333339</v>
          </cell>
          <cell r="G30">
            <v>0</v>
          </cell>
          <cell r="H30">
            <v>0</v>
          </cell>
        </row>
        <row r="31">
          <cell r="B31">
            <v>28</v>
          </cell>
          <cell r="D31">
            <v>0</v>
          </cell>
          <cell r="E31">
            <v>0.68333333333333324</v>
          </cell>
          <cell r="F31">
            <v>0.31666666666666676</v>
          </cell>
          <cell r="G31">
            <v>0</v>
          </cell>
          <cell r="H31">
            <v>0</v>
          </cell>
        </row>
        <row r="32">
          <cell r="B32">
            <v>29</v>
          </cell>
          <cell r="D32">
            <v>0</v>
          </cell>
          <cell r="E32">
            <v>0.6166666666666667</v>
          </cell>
          <cell r="F32">
            <v>0.3833333333333333</v>
          </cell>
          <cell r="G32">
            <v>0</v>
          </cell>
          <cell r="H32">
            <v>0</v>
          </cell>
        </row>
        <row r="33">
          <cell r="B33">
            <v>30</v>
          </cell>
          <cell r="D33">
            <v>0</v>
          </cell>
          <cell r="E33">
            <v>0.75</v>
          </cell>
          <cell r="F33">
            <v>0.25</v>
          </cell>
          <cell r="G33">
            <v>0</v>
          </cell>
          <cell r="H33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ATU"/>
      <sheetName val="Coal Blend"/>
      <sheetName val="Resume Coal Blend"/>
      <sheetName val="Estimasi NPHR"/>
      <sheetName val="UNIT 1"/>
      <sheetName val="UNIT 2"/>
      <sheetName val="UNIT 3"/>
      <sheetName val="COAL BLENDING MARET 2020"/>
      <sheetName val="INPUT DATA"/>
      <sheetName val="kWh Gross"/>
      <sheetName val="MaxMin"/>
    </sheetNames>
    <sheetDataSet>
      <sheetData sheetId="0" refreshError="1"/>
      <sheetData sheetId="1">
        <row r="7">
          <cell r="BV7">
            <v>0.69999999999999984</v>
          </cell>
        </row>
        <row r="23">
          <cell r="BV23">
            <v>0.5</v>
          </cell>
        </row>
        <row r="39">
          <cell r="BV39">
            <v>0.85</v>
          </cell>
        </row>
        <row r="55">
          <cell r="BV55">
            <v>0.69166666666666676</v>
          </cell>
        </row>
        <row r="71">
          <cell r="BV71">
            <v>0.32500000000000001</v>
          </cell>
        </row>
        <row r="87">
          <cell r="BV87">
            <v>0.6</v>
          </cell>
        </row>
        <row r="103">
          <cell r="BV103">
            <v>0.54166666666666663</v>
          </cell>
        </row>
        <row r="119">
          <cell r="BV119">
            <v>0.82500000000000007</v>
          </cell>
        </row>
        <row r="135">
          <cell r="BV135">
            <v>0.70833333333333337</v>
          </cell>
        </row>
        <row r="151">
          <cell r="BV151">
            <v>0.43333333333333335</v>
          </cell>
        </row>
        <row r="167">
          <cell r="BV167">
            <v>0.41666666666666669</v>
          </cell>
        </row>
        <row r="183">
          <cell r="BV183">
            <v>0.20000000000000004</v>
          </cell>
        </row>
        <row r="199">
          <cell r="BV199">
            <v>0.15833333333333333</v>
          </cell>
        </row>
        <row r="215">
          <cell r="BV215">
            <v>0.51666666666666661</v>
          </cell>
        </row>
        <row r="231">
          <cell r="BV231">
            <v>0.7583333333333333</v>
          </cell>
        </row>
        <row r="247">
          <cell r="BV247">
            <v>0.4333333333333334</v>
          </cell>
        </row>
        <row r="263">
          <cell r="BV263">
            <v>0.71666666666666667</v>
          </cell>
        </row>
        <row r="279">
          <cell r="BV279">
            <v>0.40833333333333338</v>
          </cell>
        </row>
        <row r="295">
          <cell r="BV295">
            <v>0.51666666666666672</v>
          </cell>
        </row>
        <row r="311">
          <cell r="BV311">
            <v>6.6666666666666666E-2</v>
          </cell>
        </row>
        <row r="327">
          <cell r="BV327">
            <v>0.6333333333333333</v>
          </cell>
        </row>
        <row r="343">
          <cell r="BV343">
            <v>0.7416666666666667</v>
          </cell>
        </row>
        <row r="359">
          <cell r="BV359">
            <v>0.59166666666666667</v>
          </cell>
        </row>
        <row r="375">
          <cell r="BV375">
            <v>0.69166666666666676</v>
          </cell>
        </row>
        <row r="391">
          <cell r="BV391">
            <v>0.64166666666666672</v>
          </cell>
        </row>
        <row r="407">
          <cell r="BV407">
            <v>0.51666666666666672</v>
          </cell>
        </row>
        <row r="423">
          <cell r="BV423">
            <v>0.72499999999999998</v>
          </cell>
        </row>
        <row r="439">
          <cell r="BV439">
            <v>0.6333333333333333</v>
          </cell>
        </row>
        <row r="455">
          <cell r="BV455">
            <v>0.73333333333333339</v>
          </cell>
        </row>
        <row r="471">
          <cell r="BV471">
            <v>0.61666666666666659</v>
          </cell>
        </row>
      </sheetData>
      <sheetData sheetId="2" refreshError="1"/>
      <sheetData sheetId="3">
        <row r="4">
          <cell r="C4">
            <v>4462.0457839506171</v>
          </cell>
          <cell r="D4">
            <v>0</v>
          </cell>
        </row>
        <row r="5">
          <cell r="C5">
            <v>4234.9362427914848</v>
          </cell>
          <cell r="D5">
            <v>0</v>
          </cell>
        </row>
        <row r="6">
          <cell r="C6">
            <v>4463.76856969246</v>
          </cell>
          <cell r="D6">
            <v>0</v>
          </cell>
        </row>
        <row r="7">
          <cell r="C7">
            <v>4357.6533915185428</v>
          </cell>
          <cell r="D7">
            <v>0</v>
          </cell>
        </row>
        <row r="8">
          <cell r="C8">
            <v>4145.3427178342145</v>
          </cell>
          <cell r="D8">
            <v>0</v>
          </cell>
        </row>
        <row r="9">
          <cell r="C9">
            <v>4261.4483148049048</v>
          </cell>
          <cell r="D9">
            <v>0</v>
          </cell>
        </row>
        <row r="10">
          <cell r="C10">
            <v>4227.5672662365596</v>
          </cell>
          <cell r="D10">
            <v>0</v>
          </cell>
        </row>
        <row r="11">
          <cell r="C11">
            <v>4536.9155143678154</v>
          </cell>
          <cell r="D11">
            <v>0</v>
          </cell>
        </row>
        <row r="12">
          <cell r="C12">
            <v>4408.9594330676582</v>
          </cell>
          <cell r="D12">
            <v>0</v>
          </cell>
        </row>
        <row r="13">
          <cell r="C13">
            <v>4323.9066649831648</v>
          </cell>
          <cell r="D13">
            <v>0</v>
          </cell>
        </row>
        <row r="14">
          <cell r="C14">
            <v>4187.3214668840583</v>
          </cell>
          <cell r="D14">
            <v>0</v>
          </cell>
        </row>
        <row r="15">
          <cell r="C15">
            <v>4200.424957666788</v>
          </cell>
          <cell r="D15">
            <v>0</v>
          </cell>
        </row>
        <row r="16">
          <cell r="C16">
            <v>4044.21611025641</v>
          </cell>
          <cell r="D16">
            <v>0</v>
          </cell>
        </row>
        <row r="17">
          <cell r="C17">
            <v>4304.9627394408599</v>
          </cell>
          <cell r="D17">
            <v>0</v>
          </cell>
        </row>
        <row r="18">
          <cell r="C18">
            <v>4342.3885177777775</v>
          </cell>
          <cell r="D18">
            <v>0</v>
          </cell>
        </row>
        <row r="19">
          <cell r="C19">
            <v>4476.7840245115622</v>
          </cell>
          <cell r="D19">
            <v>0</v>
          </cell>
        </row>
        <row r="20">
          <cell r="C20">
            <v>4458.2122908366009</v>
          </cell>
          <cell r="D20">
            <v>0</v>
          </cell>
        </row>
        <row r="21">
          <cell r="C21">
            <v>4182.9954923371652</v>
          </cell>
          <cell r="D21">
            <v>0</v>
          </cell>
        </row>
        <row r="22">
          <cell r="C22">
            <v>4294.97460815047</v>
          </cell>
          <cell r="D22">
            <v>0</v>
          </cell>
        </row>
        <row r="23">
          <cell r="C23">
            <v>4086.1652509652508</v>
          </cell>
          <cell r="D23">
            <v>0</v>
          </cell>
        </row>
        <row r="24">
          <cell r="C24">
            <v>4306.4114064785781</v>
          </cell>
          <cell r="D24">
            <v>0</v>
          </cell>
        </row>
        <row r="25">
          <cell r="C25">
            <v>4379.4232458333345</v>
          </cell>
          <cell r="D25">
            <v>0</v>
          </cell>
        </row>
        <row r="26">
          <cell r="C26">
            <v>4384.8050545035467</v>
          </cell>
          <cell r="D26">
            <v>0</v>
          </cell>
        </row>
        <row r="27">
          <cell r="C27">
            <v>4482.4967445790817</v>
          </cell>
          <cell r="D27">
            <v>0</v>
          </cell>
        </row>
        <row r="28">
          <cell r="C28">
            <v>4322.5207083660935</v>
          </cell>
          <cell r="D28">
            <v>0</v>
          </cell>
        </row>
        <row r="29">
          <cell r="C29">
            <v>4241.6520421607374</v>
          </cell>
          <cell r="D29">
            <v>0</v>
          </cell>
        </row>
        <row r="30">
          <cell r="C30">
            <v>4347.1316415064111</v>
          </cell>
          <cell r="D30">
            <v>0</v>
          </cell>
        </row>
        <row r="31">
          <cell r="C31">
            <v>4309.7701346797139</v>
          </cell>
          <cell r="D31">
            <v>0</v>
          </cell>
        </row>
        <row r="32">
          <cell r="C32">
            <v>4400.8867150584801</v>
          </cell>
          <cell r="D32">
            <v>0</v>
          </cell>
        </row>
        <row r="33">
          <cell r="C33">
            <v>4325.0523626940767</v>
          </cell>
          <cell r="D33">
            <v>0</v>
          </cell>
        </row>
      </sheetData>
      <sheetData sheetId="4">
        <row r="4">
          <cell r="B4">
            <v>1</v>
          </cell>
          <cell r="D4">
            <v>0</v>
          </cell>
          <cell r="E4">
            <v>0.69999999999999984</v>
          </cell>
          <cell r="F4">
            <v>0.30000000000000016</v>
          </cell>
          <cell r="G4">
            <v>0</v>
          </cell>
          <cell r="H4">
            <v>0</v>
          </cell>
        </row>
        <row r="5">
          <cell r="B5">
            <v>2</v>
          </cell>
          <cell r="D5">
            <v>0</v>
          </cell>
          <cell r="E5">
            <v>0.5</v>
          </cell>
          <cell r="F5">
            <v>0.5</v>
          </cell>
          <cell r="G5">
            <v>0</v>
          </cell>
          <cell r="H5">
            <v>0</v>
          </cell>
        </row>
        <row r="6">
          <cell r="B6">
            <v>3</v>
          </cell>
          <cell r="D6">
            <v>0</v>
          </cell>
          <cell r="E6">
            <v>0.85</v>
          </cell>
          <cell r="F6">
            <v>0.15000000000000002</v>
          </cell>
          <cell r="G6">
            <v>0</v>
          </cell>
          <cell r="H6">
            <v>0</v>
          </cell>
        </row>
        <row r="7">
          <cell r="B7">
            <v>4</v>
          </cell>
          <cell r="D7">
            <v>0</v>
          </cell>
          <cell r="E7">
            <v>0.69166666666666676</v>
          </cell>
          <cell r="F7">
            <v>0.30833333333333324</v>
          </cell>
          <cell r="G7">
            <v>0</v>
          </cell>
          <cell r="H7">
            <v>0</v>
          </cell>
        </row>
        <row r="8">
          <cell r="B8">
            <v>5</v>
          </cell>
          <cell r="D8">
            <v>0</v>
          </cell>
          <cell r="E8">
            <v>0.32500000000000001</v>
          </cell>
          <cell r="F8">
            <v>0.67500000000000004</v>
          </cell>
          <cell r="G8">
            <v>0</v>
          </cell>
          <cell r="H8">
            <v>0</v>
          </cell>
        </row>
        <row r="9">
          <cell r="B9">
            <v>6</v>
          </cell>
          <cell r="D9">
            <v>0</v>
          </cell>
          <cell r="E9">
            <v>0.6</v>
          </cell>
          <cell r="F9">
            <v>0.4</v>
          </cell>
          <cell r="G9">
            <v>0</v>
          </cell>
          <cell r="H9">
            <v>0</v>
          </cell>
        </row>
        <row r="10">
          <cell r="B10">
            <v>7</v>
          </cell>
          <cell r="D10">
            <v>0</v>
          </cell>
          <cell r="E10">
            <v>0.54166666666666663</v>
          </cell>
          <cell r="F10">
            <v>0.45833333333333337</v>
          </cell>
          <cell r="G10">
            <v>0</v>
          </cell>
          <cell r="H10">
            <v>0</v>
          </cell>
        </row>
        <row r="11">
          <cell r="B11">
            <v>8</v>
          </cell>
          <cell r="D11">
            <v>0</v>
          </cell>
          <cell r="E11">
            <v>0.82500000000000007</v>
          </cell>
          <cell r="F11">
            <v>0.17499999999999993</v>
          </cell>
          <cell r="G11">
            <v>0</v>
          </cell>
          <cell r="H11">
            <v>0</v>
          </cell>
        </row>
        <row r="12">
          <cell r="B12">
            <v>9</v>
          </cell>
          <cell r="D12">
            <v>0</v>
          </cell>
          <cell r="E12">
            <v>0.70833333333333337</v>
          </cell>
          <cell r="F12">
            <v>0.29166666666666663</v>
          </cell>
          <cell r="G12">
            <v>0</v>
          </cell>
          <cell r="H12">
            <v>0</v>
          </cell>
        </row>
        <row r="13">
          <cell r="B13">
            <v>10</v>
          </cell>
          <cell r="D13">
            <v>0</v>
          </cell>
          <cell r="E13">
            <v>0.43333333333333335</v>
          </cell>
          <cell r="F13">
            <v>0.56666666666666665</v>
          </cell>
          <cell r="G13">
            <v>0</v>
          </cell>
          <cell r="H13">
            <v>0</v>
          </cell>
        </row>
        <row r="14">
          <cell r="B14">
            <v>11</v>
          </cell>
          <cell r="D14">
            <v>0</v>
          </cell>
          <cell r="E14">
            <v>0.41666666666666669</v>
          </cell>
          <cell r="F14">
            <v>0.58333333333333326</v>
          </cell>
          <cell r="G14">
            <v>0</v>
          </cell>
          <cell r="H14">
            <v>0</v>
          </cell>
        </row>
        <row r="15">
          <cell r="B15">
            <v>12</v>
          </cell>
          <cell r="D15">
            <v>0</v>
          </cell>
          <cell r="E15">
            <v>0.20000000000000004</v>
          </cell>
          <cell r="F15">
            <v>0.79999999999999993</v>
          </cell>
          <cell r="G15">
            <v>0</v>
          </cell>
          <cell r="H15">
            <v>0</v>
          </cell>
        </row>
        <row r="16">
          <cell r="B16">
            <v>13</v>
          </cell>
          <cell r="D16">
            <v>0</v>
          </cell>
          <cell r="E16">
            <v>0.15833333333333333</v>
          </cell>
          <cell r="F16">
            <v>0.84166666666666667</v>
          </cell>
          <cell r="G16">
            <v>0</v>
          </cell>
          <cell r="H16">
            <v>0</v>
          </cell>
        </row>
        <row r="17">
          <cell r="B17">
            <v>14</v>
          </cell>
          <cell r="D17">
            <v>0</v>
          </cell>
          <cell r="E17">
            <v>0.51666666666666661</v>
          </cell>
          <cell r="F17">
            <v>0.48333333333333339</v>
          </cell>
          <cell r="G17">
            <v>0</v>
          </cell>
          <cell r="H17">
            <v>0</v>
          </cell>
        </row>
        <row r="18">
          <cell r="B18">
            <v>15</v>
          </cell>
          <cell r="D18">
            <v>0</v>
          </cell>
          <cell r="E18">
            <v>0.7583333333333333</v>
          </cell>
          <cell r="F18">
            <v>0.2416666666666667</v>
          </cell>
          <cell r="G18">
            <v>0</v>
          </cell>
          <cell r="H18">
            <v>0</v>
          </cell>
        </row>
        <row r="19">
          <cell r="B19">
            <v>16</v>
          </cell>
          <cell r="D19">
            <v>0</v>
          </cell>
          <cell r="E19">
            <v>0.4333333333333334</v>
          </cell>
          <cell r="F19">
            <v>0.56666666666666665</v>
          </cell>
          <cell r="G19">
            <v>0</v>
          </cell>
          <cell r="H19">
            <v>0</v>
          </cell>
        </row>
        <row r="20">
          <cell r="B20">
            <v>17</v>
          </cell>
          <cell r="D20">
            <v>0</v>
          </cell>
          <cell r="E20">
            <v>0.71666666666666667</v>
          </cell>
          <cell r="F20">
            <v>0.28333333333333333</v>
          </cell>
          <cell r="G20">
            <v>0</v>
          </cell>
          <cell r="H20">
            <v>0</v>
          </cell>
        </row>
        <row r="21">
          <cell r="B21">
            <v>18</v>
          </cell>
          <cell r="D21">
            <v>0</v>
          </cell>
          <cell r="E21">
            <v>0.40833333333333338</v>
          </cell>
          <cell r="F21">
            <v>0.59166666666666656</v>
          </cell>
          <cell r="G21">
            <v>0</v>
          </cell>
          <cell r="H21">
            <v>0</v>
          </cell>
        </row>
        <row r="22">
          <cell r="B22">
            <v>19</v>
          </cell>
          <cell r="D22">
            <v>0</v>
          </cell>
          <cell r="E22">
            <v>0.51666666666666672</v>
          </cell>
          <cell r="F22">
            <v>0.48333333333333328</v>
          </cell>
          <cell r="G22">
            <v>0</v>
          </cell>
          <cell r="H22">
            <v>0</v>
          </cell>
        </row>
        <row r="23">
          <cell r="B23">
            <v>20</v>
          </cell>
          <cell r="D23">
            <v>0</v>
          </cell>
          <cell r="E23">
            <v>6.6666666666666666E-2</v>
          </cell>
          <cell r="F23">
            <v>0.93333333333333335</v>
          </cell>
          <cell r="G23">
            <v>0</v>
          </cell>
          <cell r="H23">
            <v>0</v>
          </cell>
        </row>
        <row r="24">
          <cell r="B24">
            <v>21</v>
          </cell>
          <cell r="D24">
            <v>0</v>
          </cell>
          <cell r="E24">
            <v>0.6333333333333333</v>
          </cell>
          <cell r="F24">
            <v>0.3666666666666667</v>
          </cell>
          <cell r="G24">
            <v>0</v>
          </cell>
          <cell r="H24">
            <v>0</v>
          </cell>
        </row>
        <row r="25">
          <cell r="B25">
            <v>22</v>
          </cell>
          <cell r="D25">
            <v>0</v>
          </cell>
          <cell r="E25">
            <v>0.7416666666666667</v>
          </cell>
          <cell r="F25">
            <v>0.2583333333333333</v>
          </cell>
          <cell r="G25">
            <v>0</v>
          </cell>
          <cell r="H25">
            <v>0</v>
          </cell>
        </row>
        <row r="26">
          <cell r="B26">
            <v>23</v>
          </cell>
          <cell r="D26">
            <v>0</v>
          </cell>
          <cell r="E26">
            <v>0.59166666666666667</v>
          </cell>
          <cell r="F26">
            <v>0.40833333333333333</v>
          </cell>
          <cell r="G26">
            <v>0</v>
          </cell>
          <cell r="H26">
            <v>0</v>
          </cell>
        </row>
        <row r="27">
          <cell r="B27">
            <v>24</v>
          </cell>
          <cell r="D27">
            <v>0</v>
          </cell>
          <cell r="E27">
            <v>0.69166666666666676</v>
          </cell>
          <cell r="F27">
            <v>0.30833333333333324</v>
          </cell>
          <cell r="G27">
            <v>0</v>
          </cell>
          <cell r="H27">
            <v>0</v>
          </cell>
        </row>
        <row r="28">
          <cell r="B28">
            <v>25</v>
          </cell>
          <cell r="D28">
            <v>0</v>
          </cell>
          <cell r="E28">
            <v>0.64166666666666672</v>
          </cell>
          <cell r="F28">
            <v>0.35833333333333328</v>
          </cell>
          <cell r="G28">
            <v>0</v>
          </cell>
          <cell r="H28">
            <v>0</v>
          </cell>
        </row>
        <row r="29">
          <cell r="B29">
            <v>26</v>
          </cell>
          <cell r="D29">
            <v>0</v>
          </cell>
          <cell r="E29">
            <v>0.51666666666666672</v>
          </cell>
          <cell r="F29">
            <v>0.48333333333333328</v>
          </cell>
          <cell r="G29">
            <v>0</v>
          </cell>
          <cell r="H29">
            <v>0</v>
          </cell>
        </row>
        <row r="30">
          <cell r="B30">
            <v>27</v>
          </cell>
          <cell r="D30">
            <v>0</v>
          </cell>
          <cell r="E30">
            <v>0.72499999999999998</v>
          </cell>
          <cell r="F30">
            <v>0.27500000000000002</v>
          </cell>
          <cell r="G30">
            <v>0</v>
          </cell>
          <cell r="H30">
            <v>0</v>
          </cell>
        </row>
        <row r="31">
          <cell r="B31">
            <v>28</v>
          </cell>
          <cell r="D31">
            <v>0</v>
          </cell>
          <cell r="E31">
            <v>0.6333333333333333</v>
          </cell>
          <cell r="F31">
            <v>0.3666666666666667</v>
          </cell>
          <cell r="G31">
            <v>0</v>
          </cell>
          <cell r="H31">
            <v>0</v>
          </cell>
        </row>
        <row r="32">
          <cell r="B32">
            <v>29</v>
          </cell>
          <cell r="D32">
            <v>0</v>
          </cell>
          <cell r="E32">
            <v>0.73333333333333339</v>
          </cell>
          <cell r="F32">
            <v>0.26666666666666661</v>
          </cell>
          <cell r="G32">
            <v>0</v>
          </cell>
          <cell r="H32">
            <v>0</v>
          </cell>
        </row>
        <row r="33">
          <cell r="B33">
            <v>30</v>
          </cell>
          <cell r="D33">
            <v>0</v>
          </cell>
          <cell r="E33">
            <v>0.61666666666666659</v>
          </cell>
          <cell r="F33">
            <v>0.38333333333333341</v>
          </cell>
          <cell r="G33">
            <v>0</v>
          </cell>
          <cell r="H33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ATU"/>
      <sheetName val="Coal Blend"/>
      <sheetName val="Resume Coal Blend"/>
      <sheetName val="Estimasi NPHR"/>
      <sheetName val="UNIT 1"/>
      <sheetName val="UNIT 2"/>
      <sheetName val="UNIT 3"/>
      <sheetName val="COAL BLENDING MARET 2020"/>
      <sheetName val="INPUT DATA"/>
      <sheetName val="kWh Gross"/>
      <sheetName val="MaxMin"/>
    </sheetNames>
    <sheetDataSet>
      <sheetData sheetId="0" refreshError="1"/>
      <sheetData sheetId="1">
        <row r="7">
          <cell r="BV7">
            <v>0.625</v>
          </cell>
        </row>
        <row r="23">
          <cell r="BV23">
            <v>0.78333333333333321</v>
          </cell>
        </row>
        <row r="39">
          <cell r="BV39">
            <v>1</v>
          </cell>
        </row>
        <row r="55">
          <cell r="BV55">
            <v>0.61666666666666659</v>
          </cell>
        </row>
        <row r="71">
          <cell r="BV71">
            <v>0.375</v>
          </cell>
        </row>
        <row r="87">
          <cell r="BV87">
            <v>0.55000000000000004</v>
          </cell>
        </row>
        <row r="103">
          <cell r="BV103">
            <v>0.52500000000000002</v>
          </cell>
        </row>
        <row r="119">
          <cell r="BV119">
            <v>0.53333333333333333</v>
          </cell>
        </row>
        <row r="135">
          <cell r="BV135">
            <v>0.76666666666666661</v>
          </cell>
        </row>
        <row r="151">
          <cell r="BV151">
            <v>0.4916666666666667</v>
          </cell>
        </row>
        <row r="167">
          <cell r="BV167">
            <v>0.3833333333333333</v>
          </cell>
        </row>
        <row r="183">
          <cell r="BV183">
            <v>0.54999999999999993</v>
          </cell>
        </row>
        <row r="199">
          <cell r="BV199">
            <v>0.75</v>
          </cell>
        </row>
        <row r="215">
          <cell r="BV215">
            <v>0.91666666666666663</v>
          </cell>
        </row>
        <row r="231">
          <cell r="BV231">
            <v>0.92499999999999993</v>
          </cell>
        </row>
        <row r="247">
          <cell r="BV247">
            <v>0.81666666666666676</v>
          </cell>
        </row>
        <row r="263">
          <cell r="BV263">
            <v>0.43333333333333335</v>
          </cell>
        </row>
        <row r="279">
          <cell r="BV279">
            <v>0.73333333333333339</v>
          </cell>
        </row>
        <row r="295">
          <cell r="BV295">
            <v>0.41666666666666669</v>
          </cell>
        </row>
        <row r="311">
          <cell r="BV311">
            <v>0.57500000000000007</v>
          </cell>
        </row>
        <row r="327">
          <cell r="BV327">
            <v>0.45</v>
          </cell>
        </row>
        <row r="343">
          <cell r="BV343">
            <v>0.33333333333333331</v>
          </cell>
        </row>
        <row r="359">
          <cell r="BV359">
            <v>0.39999999999999997</v>
          </cell>
        </row>
        <row r="375">
          <cell r="BV375">
            <v>0.3833333333333333</v>
          </cell>
        </row>
        <row r="391">
          <cell r="BV391">
            <v>0.33333333333333331</v>
          </cell>
        </row>
        <row r="407">
          <cell r="BV407">
            <v>0.39999999999999997</v>
          </cell>
        </row>
        <row r="423">
          <cell r="BV423">
            <v>0.45833333333333331</v>
          </cell>
        </row>
        <row r="439">
          <cell r="BV439">
            <v>0.3833333333333333</v>
          </cell>
        </row>
        <row r="455">
          <cell r="BV455">
            <v>0.51666666666666661</v>
          </cell>
        </row>
        <row r="471">
          <cell r="BV471">
            <v>0.77500000000000002</v>
          </cell>
        </row>
      </sheetData>
      <sheetData sheetId="2" refreshError="1"/>
      <sheetData sheetId="3">
        <row r="4">
          <cell r="C4">
            <v>4414.618119382947</v>
          </cell>
          <cell r="D4">
            <v>0</v>
          </cell>
        </row>
        <row r="5">
          <cell r="C5">
            <v>4514.1831245188368</v>
          </cell>
          <cell r="D5">
            <v>0</v>
          </cell>
        </row>
        <row r="6">
          <cell r="C6">
            <v>4531.8145109395109</v>
          </cell>
          <cell r="D6">
            <v>0</v>
          </cell>
        </row>
        <row r="7">
          <cell r="C7">
            <v>4272.8469999999998</v>
          </cell>
          <cell r="D7">
            <v>0</v>
          </cell>
        </row>
        <row r="8">
          <cell r="C8">
            <v>4110.0312149058891</v>
          </cell>
          <cell r="D8">
            <v>0</v>
          </cell>
        </row>
        <row r="9">
          <cell r="C9">
            <v>4235.3862126680333</v>
          </cell>
          <cell r="D9">
            <v>0</v>
          </cell>
        </row>
        <row r="10">
          <cell r="C10">
            <v>4299.1788753623186</v>
          </cell>
          <cell r="D10">
            <v>0</v>
          </cell>
        </row>
        <row r="11">
          <cell r="C11">
            <v>4473.5143879997604</v>
          </cell>
          <cell r="D11">
            <v>0</v>
          </cell>
        </row>
        <row r="12">
          <cell r="C12">
            <v>4376.3754943389949</v>
          </cell>
          <cell r="D12">
            <v>0</v>
          </cell>
        </row>
        <row r="13">
          <cell r="C13">
            <v>4350.7949754866031</v>
          </cell>
          <cell r="D13">
            <v>0</v>
          </cell>
        </row>
        <row r="14">
          <cell r="C14">
            <v>4256.3023982210243</v>
          </cell>
          <cell r="D14">
            <v>0</v>
          </cell>
        </row>
        <row r="15">
          <cell r="C15">
            <v>4261.4113411038488</v>
          </cell>
          <cell r="D15">
            <v>0</v>
          </cell>
        </row>
        <row r="16">
          <cell r="C16">
            <v>4421.6466878313086</v>
          </cell>
          <cell r="D16">
            <v>0</v>
          </cell>
        </row>
        <row r="17">
          <cell r="C17">
            <v>4474.2921175070032</v>
          </cell>
          <cell r="D17">
            <v>0</v>
          </cell>
        </row>
        <row r="18">
          <cell r="C18">
            <v>4402.0441589130432</v>
          </cell>
          <cell r="D18">
            <v>0</v>
          </cell>
        </row>
        <row r="19">
          <cell r="C19">
            <v>4309.6105729729725</v>
          </cell>
          <cell r="D19">
            <v>0</v>
          </cell>
        </row>
        <row r="20">
          <cell r="C20">
            <v>4202.7726681626928</v>
          </cell>
          <cell r="D20">
            <v>0</v>
          </cell>
        </row>
        <row r="21">
          <cell r="C21">
            <v>4323.1552228571427</v>
          </cell>
          <cell r="D21">
            <v>0</v>
          </cell>
        </row>
        <row r="22">
          <cell r="C22">
            <v>4166.0104252111769</v>
          </cell>
          <cell r="D22">
            <v>0</v>
          </cell>
        </row>
        <row r="23">
          <cell r="C23">
            <v>4286.6555337037034</v>
          </cell>
          <cell r="D23">
            <v>0</v>
          </cell>
        </row>
        <row r="24">
          <cell r="C24">
            <v>4231.3009115036702</v>
          </cell>
          <cell r="D24">
            <v>0</v>
          </cell>
        </row>
        <row r="25">
          <cell r="C25">
            <v>4213.3782425141244</v>
          </cell>
          <cell r="D25">
            <v>0</v>
          </cell>
        </row>
        <row r="26">
          <cell r="C26">
            <v>4252.0786482758622</v>
          </cell>
          <cell r="D26">
            <v>0</v>
          </cell>
        </row>
        <row r="27">
          <cell r="C27">
            <v>4198.2794880919537</v>
          </cell>
          <cell r="D27">
            <v>0</v>
          </cell>
        </row>
        <row r="28">
          <cell r="C28">
            <v>4194.9180014868471</v>
          </cell>
          <cell r="D28">
            <v>0</v>
          </cell>
        </row>
        <row r="29">
          <cell r="C29">
            <v>4160.6228903278679</v>
          </cell>
          <cell r="D29">
            <v>0</v>
          </cell>
        </row>
        <row r="30">
          <cell r="C30">
            <v>4334.2564871794866</v>
          </cell>
          <cell r="D30">
            <v>0</v>
          </cell>
        </row>
        <row r="31">
          <cell r="C31">
            <v>4264.8614029914525</v>
          </cell>
          <cell r="D31">
            <v>0</v>
          </cell>
        </row>
        <row r="32">
          <cell r="C32">
            <v>4267.7696924870897</v>
          </cell>
          <cell r="D32">
            <v>0</v>
          </cell>
        </row>
        <row r="33">
          <cell r="C33">
            <v>4398.7573868112013</v>
          </cell>
          <cell r="D33">
            <v>0</v>
          </cell>
        </row>
      </sheetData>
      <sheetData sheetId="4">
        <row r="4">
          <cell r="B4">
            <v>1</v>
          </cell>
          <cell r="D4">
            <v>0</v>
          </cell>
          <cell r="E4">
            <v>0.625</v>
          </cell>
          <cell r="F4">
            <v>0.375</v>
          </cell>
          <cell r="G4">
            <v>0</v>
          </cell>
          <cell r="H4">
            <v>0</v>
          </cell>
        </row>
        <row r="5">
          <cell r="B5">
            <v>2</v>
          </cell>
          <cell r="D5">
            <v>0</v>
          </cell>
          <cell r="E5">
            <v>0.78333333333333321</v>
          </cell>
          <cell r="F5">
            <v>0.21666666666666679</v>
          </cell>
          <cell r="G5">
            <v>0</v>
          </cell>
          <cell r="H5">
            <v>0</v>
          </cell>
        </row>
        <row r="6">
          <cell r="B6">
            <v>3</v>
          </cell>
          <cell r="D6">
            <v>0</v>
          </cell>
          <cell r="E6">
            <v>1</v>
          </cell>
          <cell r="F6">
            <v>0</v>
          </cell>
          <cell r="G6">
            <v>0</v>
          </cell>
          <cell r="H6">
            <v>0</v>
          </cell>
        </row>
        <row r="7">
          <cell r="B7">
            <v>4</v>
          </cell>
          <cell r="D7">
            <v>0</v>
          </cell>
          <cell r="E7">
            <v>0.61666666666666659</v>
          </cell>
          <cell r="F7">
            <v>0.38333333333333341</v>
          </cell>
          <cell r="G7">
            <v>0</v>
          </cell>
          <cell r="H7">
            <v>0</v>
          </cell>
        </row>
        <row r="8">
          <cell r="B8">
            <v>5</v>
          </cell>
          <cell r="D8">
            <v>0</v>
          </cell>
          <cell r="E8">
            <v>0.375</v>
          </cell>
          <cell r="F8">
            <v>0.625</v>
          </cell>
          <cell r="G8">
            <v>0</v>
          </cell>
          <cell r="H8">
            <v>0</v>
          </cell>
        </row>
        <row r="9">
          <cell r="B9">
            <v>6</v>
          </cell>
          <cell r="D9">
            <v>0</v>
          </cell>
          <cell r="E9">
            <v>0.55000000000000004</v>
          </cell>
          <cell r="F9">
            <v>0.44999999999999996</v>
          </cell>
          <cell r="G9">
            <v>0</v>
          </cell>
          <cell r="H9">
            <v>0</v>
          </cell>
        </row>
        <row r="10">
          <cell r="B10">
            <v>7</v>
          </cell>
          <cell r="D10">
            <v>0</v>
          </cell>
          <cell r="E10">
            <v>0.52500000000000002</v>
          </cell>
          <cell r="F10">
            <v>0.47499999999999998</v>
          </cell>
          <cell r="G10">
            <v>0</v>
          </cell>
          <cell r="H10">
            <v>0</v>
          </cell>
        </row>
        <row r="11">
          <cell r="B11">
            <v>8</v>
          </cell>
          <cell r="D11">
            <v>0</v>
          </cell>
          <cell r="E11">
            <v>0.53333333333333333</v>
          </cell>
          <cell r="F11">
            <v>0.46666666666666667</v>
          </cell>
          <cell r="G11">
            <v>0</v>
          </cell>
          <cell r="H11">
            <v>0</v>
          </cell>
        </row>
        <row r="12">
          <cell r="B12">
            <v>9</v>
          </cell>
          <cell r="D12">
            <v>0</v>
          </cell>
          <cell r="E12">
            <v>0.76666666666666661</v>
          </cell>
          <cell r="F12">
            <v>0.23333333333333339</v>
          </cell>
          <cell r="G12">
            <v>0</v>
          </cell>
          <cell r="H12">
            <v>0</v>
          </cell>
        </row>
        <row r="13">
          <cell r="B13">
            <v>10</v>
          </cell>
          <cell r="D13">
            <v>0</v>
          </cell>
          <cell r="E13">
            <v>0.4916666666666667</v>
          </cell>
          <cell r="F13">
            <v>0.5083333333333333</v>
          </cell>
          <cell r="G13">
            <v>0</v>
          </cell>
          <cell r="H13">
            <v>0</v>
          </cell>
        </row>
        <row r="14">
          <cell r="B14">
            <v>11</v>
          </cell>
          <cell r="D14">
            <v>0</v>
          </cell>
          <cell r="E14">
            <v>0.3833333333333333</v>
          </cell>
          <cell r="F14">
            <v>0.6166666666666667</v>
          </cell>
          <cell r="G14">
            <v>0</v>
          </cell>
          <cell r="H14">
            <v>0</v>
          </cell>
        </row>
        <row r="15">
          <cell r="B15">
            <v>12</v>
          </cell>
          <cell r="D15">
            <v>0</v>
          </cell>
          <cell r="E15">
            <v>0.54999999999999993</v>
          </cell>
          <cell r="F15">
            <v>0.45000000000000007</v>
          </cell>
          <cell r="G15">
            <v>0</v>
          </cell>
          <cell r="H15">
            <v>0</v>
          </cell>
        </row>
        <row r="16">
          <cell r="B16">
            <v>13</v>
          </cell>
          <cell r="D16">
            <v>0</v>
          </cell>
          <cell r="E16">
            <v>0.75</v>
          </cell>
          <cell r="F16">
            <v>0.25</v>
          </cell>
          <cell r="G16">
            <v>0</v>
          </cell>
          <cell r="H16">
            <v>0</v>
          </cell>
        </row>
        <row r="17">
          <cell r="B17">
            <v>14</v>
          </cell>
          <cell r="D17">
            <v>0</v>
          </cell>
          <cell r="E17">
            <v>0.91666666666666663</v>
          </cell>
          <cell r="F17">
            <v>8.333333333333337E-2</v>
          </cell>
          <cell r="G17">
            <v>0</v>
          </cell>
          <cell r="H17">
            <v>0</v>
          </cell>
        </row>
        <row r="18">
          <cell r="B18">
            <v>15</v>
          </cell>
          <cell r="D18">
            <v>0</v>
          </cell>
          <cell r="E18">
            <v>0.92499999999999993</v>
          </cell>
          <cell r="F18">
            <v>7.5000000000000067E-2</v>
          </cell>
          <cell r="G18">
            <v>0</v>
          </cell>
          <cell r="H18">
            <v>0</v>
          </cell>
        </row>
        <row r="19">
          <cell r="B19">
            <v>16</v>
          </cell>
          <cell r="D19">
            <v>0</v>
          </cell>
          <cell r="E19">
            <v>0.81666666666666676</v>
          </cell>
          <cell r="F19">
            <v>0.18333333333333324</v>
          </cell>
          <cell r="G19">
            <v>0</v>
          </cell>
          <cell r="H19">
            <v>0</v>
          </cell>
        </row>
        <row r="20">
          <cell r="B20">
            <v>17</v>
          </cell>
          <cell r="D20">
            <v>0</v>
          </cell>
          <cell r="E20">
            <v>0.43333333333333335</v>
          </cell>
          <cell r="F20">
            <v>0.56666666666666665</v>
          </cell>
          <cell r="G20">
            <v>0</v>
          </cell>
          <cell r="H20">
            <v>0</v>
          </cell>
        </row>
        <row r="21">
          <cell r="B21">
            <v>18</v>
          </cell>
          <cell r="D21">
            <v>0</v>
          </cell>
          <cell r="E21">
            <v>0.73333333333333339</v>
          </cell>
          <cell r="F21">
            <v>0.26666666666666661</v>
          </cell>
          <cell r="G21">
            <v>0</v>
          </cell>
          <cell r="H21">
            <v>0</v>
          </cell>
        </row>
        <row r="22">
          <cell r="B22">
            <v>19</v>
          </cell>
          <cell r="D22">
            <v>0</v>
          </cell>
          <cell r="E22">
            <v>0.41666666666666669</v>
          </cell>
          <cell r="F22">
            <v>0.58333333333333326</v>
          </cell>
          <cell r="G22">
            <v>0</v>
          </cell>
          <cell r="H22">
            <v>0</v>
          </cell>
        </row>
        <row r="23">
          <cell r="B23">
            <v>20</v>
          </cell>
          <cell r="D23">
            <v>0</v>
          </cell>
          <cell r="E23">
            <v>0.57500000000000007</v>
          </cell>
          <cell r="F23">
            <v>0.42499999999999993</v>
          </cell>
          <cell r="G23">
            <v>0</v>
          </cell>
          <cell r="H23">
            <v>0</v>
          </cell>
        </row>
        <row r="24">
          <cell r="B24">
            <v>21</v>
          </cell>
          <cell r="D24">
            <v>0</v>
          </cell>
          <cell r="E24">
            <v>0.45</v>
          </cell>
          <cell r="F24">
            <v>0.55000000000000004</v>
          </cell>
          <cell r="G24">
            <v>0</v>
          </cell>
          <cell r="H24">
            <v>0</v>
          </cell>
        </row>
        <row r="25">
          <cell r="B25">
            <v>22</v>
          </cell>
          <cell r="D25">
            <v>0</v>
          </cell>
          <cell r="E25">
            <v>0.33333333333333331</v>
          </cell>
          <cell r="F25">
            <v>0.66666666666666674</v>
          </cell>
          <cell r="G25">
            <v>0</v>
          </cell>
          <cell r="H25">
            <v>0</v>
          </cell>
        </row>
        <row r="26">
          <cell r="B26">
            <v>23</v>
          </cell>
          <cell r="D26">
            <v>0</v>
          </cell>
          <cell r="E26">
            <v>0.39999999999999997</v>
          </cell>
          <cell r="F26">
            <v>0.60000000000000009</v>
          </cell>
          <cell r="G26">
            <v>0</v>
          </cell>
          <cell r="H26">
            <v>0</v>
          </cell>
        </row>
        <row r="27">
          <cell r="B27">
            <v>24</v>
          </cell>
          <cell r="D27">
            <v>0</v>
          </cell>
          <cell r="E27">
            <v>0.3833333333333333</v>
          </cell>
          <cell r="F27">
            <v>0.6166666666666667</v>
          </cell>
          <cell r="G27">
            <v>0</v>
          </cell>
          <cell r="H27">
            <v>0</v>
          </cell>
        </row>
        <row r="28">
          <cell r="B28">
            <v>25</v>
          </cell>
          <cell r="D28">
            <v>0</v>
          </cell>
          <cell r="E28">
            <v>0.33333333333333331</v>
          </cell>
          <cell r="F28">
            <v>0.66666666666666674</v>
          </cell>
          <cell r="G28">
            <v>0</v>
          </cell>
          <cell r="H28">
            <v>0</v>
          </cell>
        </row>
        <row r="29">
          <cell r="B29">
            <v>26</v>
          </cell>
          <cell r="D29">
            <v>0</v>
          </cell>
          <cell r="E29">
            <v>0.39999999999999997</v>
          </cell>
          <cell r="F29">
            <v>0.60000000000000009</v>
          </cell>
          <cell r="G29">
            <v>0</v>
          </cell>
          <cell r="H29">
            <v>0</v>
          </cell>
        </row>
        <row r="30">
          <cell r="B30">
            <v>27</v>
          </cell>
          <cell r="D30">
            <v>0</v>
          </cell>
          <cell r="E30">
            <v>0.45833333333333331</v>
          </cell>
          <cell r="F30">
            <v>0.54166666666666674</v>
          </cell>
          <cell r="G30">
            <v>0</v>
          </cell>
          <cell r="H30">
            <v>0</v>
          </cell>
        </row>
        <row r="31">
          <cell r="B31">
            <v>28</v>
          </cell>
          <cell r="D31">
            <v>0</v>
          </cell>
          <cell r="E31">
            <v>0.3833333333333333</v>
          </cell>
          <cell r="F31">
            <v>0.6166666666666667</v>
          </cell>
          <cell r="G31">
            <v>0</v>
          </cell>
          <cell r="H31">
            <v>0</v>
          </cell>
        </row>
        <row r="32">
          <cell r="B32">
            <v>29</v>
          </cell>
          <cell r="D32">
            <v>0</v>
          </cell>
          <cell r="E32">
            <v>0.51666666666666661</v>
          </cell>
          <cell r="F32">
            <v>0.48333333333333339</v>
          </cell>
          <cell r="G32">
            <v>0</v>
          </cell>
          <cell r="H32">
            <v>0</v>
          </cell>
        </row>
        <row r="33">
          <cell r="B33">
            <v>30</v>
          </cell>
          <cell r="D33">
            <v>0</v>
          </cell>
          <cell r="E33">
            <v>0.77500000000000002</v>
          </cell>
          <cell r="F33">
            <v>0.22499999999999998</v>
          </cell>
          <cell r="G33">
            <v>0</v>
          </cell>
          <cell r="H33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ATU"/>
      <sheetName val="Coal Blend"/>
      <sheetName val="Resume Coal Blend"/>
      <sheetName val="Estimasi NPHR"/>
      <sheetName val="UNIT 1"/>
      <sheetName val="UNIT 2"/>
      <sheetName val="UNIT 3"/>
      <sheetName val="COAL BLENDING MARET 2020"/>
      <sheetName val="INPUT DATA"/>
      <sheetName val="kWh Gross"/>
      <sheetName val="MaxMin"/>
    </sheetNames>
    <sheetDataSet>
      <sheetData sheetId="0" refreshError="1"/>
      <sheetData sheetId="1">
        <row r="7">
          <cell r="BV7">
            <v>0.25</v>
          </cell>
        </row>
        <row r="23">
          <cell r="BV23">
            <v>0.48333333333333334</v>
          </cell>
        </row>
        <row r="39">
          <cell r="BV39">
            <v>0.56666666666666665</v>
          </cell>
        </row>
        <row r="55">
          <cell r="BV55">
            <v>0.60833333333333339</v>
          </cell>
        </row>
        <row r="71">
          <cell r="BV71">
            <v>0.8833333333333333</v>
          </cell>
        </row>
        <row r="87">
          <cell r="BV87">
            <v>0.64166666666666661</v>
          </cell>
        </row>
        <row r="103">
          <cell r="BV103">
            <v>0.55000000000000004</v>
          </cell>
        </row>
        <row r="119">
          <cell r="BV119">
            <v>0.73333333333333339</v>
          </cell>
        </row>
        <row r="135">
          <cell r="BV135">
            <v>0.65</v>
          </cell>
        </row>
        <row r="151">
          <cell r="BV151">
            <v>0.73333333333333339</v>
          </cell>
        </row>
        <row r="167">
          <cell r="BV167">
            <v>0.45</v>
          </cell>
        </row>
        <row r="183">
          <cell r="BV183">
            <v>0.56666666666666676</v>
          </cell>
        </row>
        <row r="199">
          <cell r="BV199">
            <v>0.31666666666666671</v>
          </cell>
        </row>
        <row r="215">
          <cell r="BV215">
            <v>0.45</v>
          </cell>
        </row>
        <row r="231">
          <cell r="BV231">
            <v>0.45</v>
          </cell>
        </row>
        <row r="247">
          <cell r="BV247">
            <v>0.18333333333333335</v>
          </cell>
        </row>
        <row r="263">
          <cell r="BV263">
            <v>0.26666666666666666</v>
          </cell>
        </row>
        <row r="279">
          <cell r="BV279">
            <v>0.11666666666666665</v>
          </cell>
        </row>
        <row r="295">
          <cell r="BV295">
            <v>0</v>
          </cell>
        </row>
        <row r="311">
          <cell r="BV311">
            <v>0.43333333333333335</v>
          </cell>
        </row>
        <row r="327">
          <cell r="BV327">
            <v>0.75</v>
          </cell>
        </row>
        <row r="343">
          <cell r="BV343">
            <v>0.25</v>
          </cell>
        </row>
        <row r="359">
          <cell r="BV359">
            <v>0</v>
          </cell>
        </row>
        <row r="375">
          <cell r="BV375">
            <v>0.23333333333333331</v>
          </cell>
        </row>
        <row r="391">
          <cell r="BV391">
            <v>4.9999999999999996E-2</v>
          </cell>
        </row>
        <row r="407">
          <cell r="BV407">
            <v>9.9999999999999992E-2</v>
          </cell>
        </row>
        <row r="423">
          <cell r="BV423">
            <v>0.3666666666666667</v>
          </cell>
        </row>
        <row r="439">
          <cell r="BV439">
            <v>0.19999999999999998</v>
          </cell>
        </row>
        <row r="455">
          <cell r="BV455">
            <v>0.5</v>
          </cell>
        </row>
        <row r="471">
          <cell r="BV471">
            <v>0.3666666666666667</v>
          </cell>
        </row>
      </sheetData>
      <sheetData sheetId="2" refreshError="1"/>
      <sheetData sheetId="3">
        <row r="4">
          <cell r="C4">
            <v>4177.4685057471261</v>
          </cell>
          <cell r="D4">
            <v>0</v>
          </cell>
        </row>
        <row r="5">
          <cell r="C5">
            <v>4124.8867042483662</v>
          </cell>
          <cell r="D5">
            <v>0</v>
          </cell>
        </row>
        <row r="6">
          <cell r="C6">
            <v>4360.7168071264359</v>
          </cell>
          <cell r="D6">
            <v>0</v>
          </cell>
        </row>
        <row r="7">
          <cell r="C7">
            <v>4371.622831515152</v>
          </cell>
          <cell r="D7">
            <v>0</v>
          </cell>
        </row>
        <row r="8">
          <cell r="C8">
            <v>4436.9456405458086</v>
          </cell>
          <cell r="D8">
            <v>0</v>
          </cell>
        </row>
        <row r="9">
          <cell r="C9">
            <v>4299.3017089947089</v>
          </cell>
          <cell r="D9">
            <v>0</v>
          </cell>
        </row>
        <row r="10">
          <cell r="C10">
            <v>4363.7139954545455</v>
          </cell>
          <cell r="D10">
            <v>0</v>
          </cell>
        </row>
        <row r="11">
          <cell r="C11">
            <v>4308.4576608187126</v>
          </cell>
          <cell r="D11">
            <v>0</v>
          </cell>
        </row>
        <row r="12">
          <cell r="C12">
            <v>4313.7863449794704</v>
          </cell>
          <cell r="D12">
            <v>0</v>
          </cell>
        </row>
        <row r="13">
          <cell r="C13">
            <v>4348.3954540115801</v>
          </cell>
          <cell r="D13">
            <v>0</v>
          </cell>
        </row>
        <row r="14">
          <cell r="C14">
            <v>4304.8410951048954</v>
          </cell>
          <cell r="D14">
            <v>0</v>
          </cell>
        </row>
        <row r="15">
          <cell r="C15">
            <v>4206.8083933751996</v>
          </cell>
          <cell r="D15">
            <v>0</v>
          </cell>
        </row>
        <row r="16">
          <cell r="C16">
            <v>4059.4780724388183</v>
          </cell>
          <cell r="D16">
            <v>0</v>
          </cell>
        </row>
        <row r="17">
          <cell r="C17">
            <v>4171.9117415384617</v>
          </cell>
          <cell r="D17">
            <v>0</v>
          </cell>
        </row>
        <row r="18">
          <cell r="C18">
            <v>4224.7939393939387</v>
          </cell>
          <cell r="D18">
            <v>0</v>
          </cell>
        </row>
        <row r="19">
          <cell r="C19">
            <v>4054.2319047619044</v>
          </cell>
          <cell r="D19">
            <v>0</v>
          </cell>
        </row>
        <row r="20">
          <cell r="C20">
            <v>4130.2738544858703</v>
          </cell>
          <cell r="D20">
            <v>0</v>
          </cell>
        </row>
        <row r="21">
          <cell r="C21">
            <v>4090.7534469193415</v>
          </cell>
          <cell r="D21">
            <v>0</v>
          </cell>
        </row>
        <row r="22">
          <cell r="C22">
            <v>4065.876224248565</v>
          </cell>
          <cell r="D22">
            <v>0</v>
          </cell>
        </row>
        <row r="23">
          <cell r="C23">
            <v>4155.3810887009322</v>
          </cell>
          <cell r="D23">
            <v>0</v>
          </cell>
        </row>
        <row r="24">
          <cell r="C24">
            <v>4248.1106060606062</v>
          </cell>
          <cell r="D24">
            <v>0</v>
          </cell>
        </row>
        <row r="25">
          <cell r="C25">
            <v>4136.2043478260866</v>
          </cell>
          <cell r="D25">
            <v>0</v>
          </cell>
        </row>
        <row r="26">
          <cell r="C26">
            <v>4068.2933251433255</v>
          </cell>
          <cell r="D26">
            <v>0</v>
          </cell>
        </row>
        <row r="27">
          <cell r="C27">
            <v>4135.0751489014683</v>
          </cell>
          <cell r="D27">
            <v>0</v>
          </cell>
        </row>
        <row r="28">
          <cell r="C28">
            <v>4039.6131780487799</v>
          </cell>
          <cell r="D28">
            <v>0</v>
          </cell>
        </row>
        <row r="29">
          <cell r="C29">
            <v>4057.5940244444446</v>
          </cell>
          <cell r="D29">
            <v>0</v>
          </cell>
        </row>
        <row r="30">
          <cell r="C30">
            <v>4148.6561516592856</v>
          </cell>
          <cell r="D30">
            <v>0</v>
          </cell>
        </row>
        <row r="31">
          <cell r="C31">
            <v>4085.591257043608</v>
          </cell>
          <cell r="D31">
            <v>0</v>
          </cell>
        </row>
        <row r="32">
          <cell r="C32">
            <v>4260.0991225128555</v>
          </cell>
          <cell r="D32">
            <v>0</v>
          </cell>
        </row>
        <row r="33">
          <cell r="C33">
            <v>4251.9365261813537</v>
          </cell>
          <cell r="D33">
            <v>0</v>
          </cell>
        </row>
      </sheetData>
      <sheetData sheetId="4">
        <row r="4">
          <cell r="B4">
            <v>1</v>
          </cell>
          <cell r="D4">
            <v>0</v>
          </cell>
          <cell r="E4">
            <v>0.25</v>
          </cell>
          <cell r="F4">
            <v>0.75</v>
          </cell>
          <cell r="G4">
            <v>0</v>
          </cell>
          <cell r="H4">
            <v>0</v>
          </cell>
        </row>
        <row r="5">
          <cell r="B5">
            <v>2</v>
          </cell>
          <cell r="D5">
            <v>0</v>
          </cell>
          <cell r="E5">
            <v>0.48333333333333334</v>
          </cell>
          <cell r="F5">
            <v>0.51666666666666661</v>
          </cell>
          <cell r="G5">
            <v>0</v>
          </cell>
          <cell r="H5">
            <v>0</v>
          </cell>
        </row>
        <row r="6">
          <cell r="B6">
            <v>3</v>
          </cell>
          <cell r="D6">
            <v>0</v>
          </cell>
          <cell r="E6">
            <v>0.56666666666666665</v>
          </cell>
          <cell r="F6">
            <v>0.43333333333333335</v>
          </cell>
          <cell r="G6">
            <v>0</v>
          </cell>
          <cell r="H6">
            <v>0</v>
          </cell>
        </row>
        <row r="7">
          <cell r="B7">
            <v>4</v>
          </cell>
          <cell r="D7">
            <v>0</v>
          </cell>
          <cell r="E7">
            <v>0.60833333333333339</v>
          </cell>
          <cell r="F7">
            <v>0.39166666666666661</v>
          </cell>
          <cell r="G7">
            <v>0</v>
          </cell>
          <cell r="H7">
            <v>0</v>
          </cell>
        </row>
        <row r="8">
          <cell r="B8">
            <v>5</v>
          </cell>
          <cell r="D8">
            <v>0</v>
          </cell>
          <cell r="E8">
            <v>0.8833333333333333</v>
          </cell>
          <cell r="F8">
            <v>0.1166666666666667</v>
          </cell>
          <cell r="G8">
            <v>0</v>
          </cell>
          <cell r="H8">
            <v>0</v>
          </cell>
        </row>
        <row r="9">
          <cell r="B9">
            <v>6</v>
          </cell>
          <cell r="D9">
            <v>0</v>
          </cell>
          <cell r="E9">
            <v>0.64166666666666661</v>
          </cell>
          <cell r="F9">
            <v>0.35833333333333339</v>
          </cell>
          <cell r="G9">
            <v>0</v>
          </cell>
          <cell r="H9">
            <v>0</v>
          </cell>
        </row>
        <row r="10">
          <cell r="B10">
            <v>7</v>
          </cell>
          <cell r="D10">
            <v>0</v>
          </cell>
          <cell r="E10">
            <v>0.55000000000000004</v>
          </cell>
          <cell r="F10">
            <v>0.44999999999999996</v>
          </cell>
          <cell r="G10">
            <v>0</v>
          </cell>
          <cell r="H10">
            <v>0</v>
          </cell>
        </row>
        <row r="11">
          <cell r="B11">
            <v>8</v>
          </cell>
          <cell r="D11">
            <v>0</v>
          </cell>
          <cell r="E11">
            <v>0.73333333333333339</v>
          </cell>
          <cell r="F11">
            <v>0.26666666666666661</v>
          </cell>
          <cell r="G11">
            <v>0</v>
          </cell>
          <cell r="H11">
            <v>0</v>
          </cell>
        </row>
        <row r="12">
          <cell r="B12">
            <v>9</v>
          </cell>
          <cell r="D12">
            <v>0</v>
          </cell>
          <cell r="E12">
            <v>0.65</v>
          </cell>
          <cell r="F12">
            <v>0.35</v>
          </cell>
          <cell r="G12">
            <v>0</v>
          </cell>
          <cell r="H12">
            <v>0</v>
          </cell>
        </row>
        <row r="13">
          <cell r="B13">
            <v>10</v>
          </cell>
          <cell r="D13">
            <v>0</v>
          </cell>
          <cell r="E13">
            <v>0.73333333333333339</v>
          </cell>
          <cell r="F13">
            <v>0.26666666666666661</v>
          </cell>
          <cell r="G13">
            <v>0</v>
          </cell>
          <cell r="H13">
            <v>0</v>
          </cell>
        </row>
        <row r="14">
          <cell r="B14">
            <v>11</v>
          </cell>
          <cell r="D14">
            <v>0</v>
          </cell>
          <cell r="E14">
            <v>0.45</v>
          </cell>
          <cell r="F14">
            <v>0.55000000000000004</v>
          </cell>
          <cell r="G14">
            <v>0</v>
          </cell>
          <cell r="H14">
            <v>0</v>
          </cell>
        </row>
        <row r="15">
          <cell r="B15">
            <v>12</v>
          </cell>
          <cell r="D15">
            <v>0</v>
          </cell>
          <cell r="E15">
            <v>0.56666666666666676</v>
          </cell>
          <cell r="F15">
            <v>0.43333333333333324</v>
          </cell>
          <cell r="G15">
            <v>0</v>
          </cell>
          <cell r="H15">
            <v>0</v>
          </cell>
        </row>
        <row r="16">
          <cell r="B16">
            <v>13</v>
          </cell>
          <cell r="D16">
            <v>0</v>
          </cell>
          <cell r="E16">
            <v>0.31666666666666671</v>
          </cell>
          <cell r="F16">
            <v>0.68333333333333335</v>
          </cell>
          <cell r="G16">
            <v>0</v>
          </cell>
          <cell r="H16">
            <v>0</v>
          </cell>
        </row>
        <row r="17">
          <cell r="B17">
            <v>14</v>
          </cell>
          <cell r="D17">
            <v>0</v>
          </cell>
          <cell r="E17">
            <v>0.45</v>
          </cell>
          <cell r="F17">
            <v>0.55000000000000004</v>
          </cell>
          <cell r="G17">
            <v>0</v>
          </cell>
          <cell r="H17">
            <v>0</v>
          </cell>
        </row>
        <row r="18">
          <cell r="B18">
            <v>15</v>
          </cell>
          <cell r="D18">
            <v>0</v>
          </cell>
          <cell r="E18">
            <v>0.45</v>
          </cell>
          <cell r="F18">
            <v>0.55000000000000004</v>
          </cell>
          <cell r="G18">
            <v>0</v>
          </cell>
          <cell r="H18">
            <v>0</v>
          </cell>
        </row>
        <row r="19">
          <cell r="B19">
            <v>16</v>
          </cell>
          <cell r="D19">
            <v>0</v>
          </cell>
          <cell r="E19">
            <v>0.18333333333333335</v>
          </cell>
          <cell r="F19">
            <v>0.81666666666666665</v>
          </cell>
          <cell r="G19">
            <v>0</v>
          </cell>
          <cell r="H19">
            <v>0</v>
          </cell>
        </row>
        <row r="20">
          <cell r="B20">
            <v>17</v>
          </cell>
          <cell r="D20">
            <v>0</v>
          </cell>
          <cell r="E20">
            <v>0.26666666666666666</v>
          </cell>
          <cell r="F20">
            <v>0.73333333333333339</v>
          </cell>
          <cell r="G20">
            <v>0</v>
          </cell>
          <cell r="H20">
            <v>0</v>
          </cell>
        </row>
        <row r="21">
          <cell r="B21">
            <v>18</v>
          </cell>
          <cell r="D21">
            <v>0</v>
          </cell>
          <cell r="E21">
            <v>0.11666666666666665</v>
          </cell>
          <cell r="F21">
            <v>0.8833333333333333</v>
          </cell>
          <cell r="G21">
            <v>0</v>
          </cell>
          <cell r="H21">
            <v>0</v>
          </cell>
        </row>
        <row r="22">
          <cell r="B22">
            <v>19</v>
          </cell>
          <cell r="D22">
            <v>0</v>
          </cell>
          <cell r="E22">
            <v>0</v>
          </cell>
          <cell r="F22">
            <v>1</v>
          </cell>
          <cell r="G22">
            <v>0</v>
          </cell>
          <cell r="H22">
            <v>0</v>
          </cell>
        </row>
        <row r="23">
          <cell r="B23">
            <v>20</v>
          </cell>
          <cell r="D23">
            <v>0</v>
          </cell>
          <cell r="E23">
            <v>0.43333333333333335</v>
          </cell>
          <cell r="F23">
            <v>0.56666666666666665</v>
          </cell>
          <cell r="G23">
            <v>0</v>
          </cell>
          <cell r="H23">
            <v>0</v>
          </cell>
        </row>
        <row r="24">
          <cell r="B24">
            <v>21</v>
          </cell>
          <cell r="D24">
            <v>0</v>
          </cell>
          <cell r="E24">
            <v>0.75</v>
          </cell>
          <cell r="F24">
            <v>0.25</v>
          </cell>
          <cell r="G24">
            <v>0</v>
          </cell>
          <cell r="H24">
            <v>0</v>
          </cell>
        </row>
        <row r="25">
          <cell r="B25">
            <v>22</v>
          </cell>
          <cell r="D25">
            <v>0</v>
          </cell>
          <cell r="E25">
            <v>0.25</v>
          </cell>
          <cell r="F25">
            <v>0.75</v>
          </cell>
          <cell r="G25">
            <v>0</v>
          </cell>
          <cell r="H25">
            <v>0</v>
          </cell>
        </row>
        <row r="26">
          <cell r="B26">
            <v>23</v>
          </cell>
          <cell r="D26">
            <v>0</v>
          </cell>
          <cell r="E26">
            <v>0</v>
          </cell>
          <cell r="F26">
            <v>1</v>
          </cell>
          <cell r="G26">
            <v>0</v>
          </cell>
          <cell r="H26">
            <v>0</v>
          </cell>
        </row>
        <row r="27">
          <cell r="B27">
            <v>24</v>
          </cell>
          <cell r="D27">
            <v>0</v>
          </cell>
          <cell r="E27">
            <v>0.23333333333333331</v>
          </cell>
          <cell r="F27">
            <v>0.76666666666666672</v>
          </cell>
          <cell r="G27">
            <v>0</v>
          </cell>
          <cell r="H27">
            <v>0</v>
          </cell>
        </row>
        <row r="28">
          <cell r="B28">
            <v>25</v>
          </cell>
          <cell r="D28">
            <v>0</v>
          </cell>
          <cell r="E28">
            <v>4.9999999999999996E-2</v>
          </cell>
          <cell r="F28">
            <v>0.95</v>
          </cell>
          <cell r="G28">
            <v>0</v>
          </cell>
          <cell r="H28">
            <v>0</v>
          </cell>
        </row>
        <row r="29">
          <cell r="B29">
            <v>26</v>
          </cell>
          <cell r="D29">
            <v>0</v>
          </cell>
          <cell r="E29">
            <v>9.9999999999999992E-2</v>
          </cell>
          <cell r="F29">
            <v>0.9</v>
          </cell>
          <cell r="G29">
            <v>0</v>
          </cell>
          <cell r="H29">
            <v>0</v>
          </cell>
        </row>
        <row r="30">
          <cell r="B30">
            <v>27</v>
          </cell>
          <cell r="D30">
            <v>0</v>
          </cell>
          <cell r="E30">
            <v>0.3666666666666667</v>
          </cell>
          <cell r="F30">
            <v>0.6333333333333333</v>
          </cell>
          <cell r="G30">
            <v>0</v>
          </cell>
          <cell r="H30">
            <v>0</v>
          </cell>
        </row>
        <row r="31">
          <cell r="B31">
            <v>28</v>
          </cell>
          <cell r="D31">
            <v>0</v>
          </cell>
          <cell r="E31">
            <v>0.19999999999999998</v>
          </cell>
          <cell r="F31">
            <v>0.8</v>
          </cell>
          <cell r="G31">
            <v>0</v>
          </cell>
          <cell r="H31">
            <v>0</v>
          </cell>
        </row>
        <row r="32">
          <cell r="B32">
            <v>29</v>
          </cell>
          <cell r="D32">
            <v>0</v>
          </cell>
          <cell r="E32">
            <v>0.5</v>
          </cell>
          <cell r="F32">
            <v>0.5</v>
          </cell>
          <cell r="G32">
            <v>0</v>
          </cell>
          <cell r="H32">
            <v>0</v>
          </cell>
        </row>
        <row r="33">
          <cell r="B33">
            <v>30</v>
          </cell>
          <cell r="D33">
            <v>0</v>
          </cell>
          <cell r="E33">
            <v>0.3666666666666667</v>
          </cell>
          <cell r="F33">
            <v>0.6333333333333333</v>
          </cell>
          <cell r="G33">
            <v>0</v>
          </cell>
          <cell r="H33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ATU"/>
      <sheetName val="Coal Blend"/>
      <sheetName val="Resume Coal Blend"/>
      <sheetName val="Estimasi NPHR"/>
      <sheetName val="UNIT 1"/>
      <sheetName val="UNIT 2"/>
      <sheetName val="UNIT 3"/>
      <sheetName val="COAL BLENDING MARET 2020"/>
      <sheetName val="INPUT DATA"/>
      <sheetName val="kWh Gross"/>
      <sheetName val="MaxMin"/>
    </sheetNames>
    <sheetDataSet>
      <sheetData sheetId="0" refreshError="1"/>
      <sheetData sheetId="1">
        <row r="7">
          <cell r="BV7">
            <v>0.3666666666666667</v>
          </cell>
        </row>
        <row r="23">
          <cell r="BV23">
            <v>0.16666666666666666</v>
          </cell>
        </row>
        <row r="39">
          <cell r="BV39">
            <v>0.31666666666666665</v>
          </cell>
        </row>
        <row r="55">
          <cell r="BV55">
            <v>0.3</v>
          </cell>
        </row>
        <row r="71">
          <cell r="BV71">
            <v>0.3</v>
          </cell>
        </row>
        <row r="87">
          <cell r="BV87">
            <v>0.40833333333333338</v>
          </cell>
        </row>
        <row r="103">
          <cell r="BV103">
            <v>0.31666666666666665</v>
          </cell>
        </row>
        <row r="119">
          <cell r="BV119">
            <v>0.33333333333333331</v>
          </cell>
        </row>
        <row r="135">
          <cell r="BV135">
            <v>0.3</v>
          </cell>
        </row>
        <row r="151">
          <cell r="BV151">
            <v>0.39999999999999997</v>
          </cell>
        </row>
        <row r="167">
          <cell r="BV167">
            <v>0.45</v>
          </cell>
        </row>
        <row r="183">
          <cell r="BV183">
            <v>0.5</v>
          </cell>
        </row>
        <row r="199">
          <cell r="BV199">
            <v>0.30833333333333329</v>
          </cell>
        </row>
        <row r="215">
          <cell r="BV215">
            <v>0.42499999999999999</v>
          </cell>
        </row>
        <row r="231">
          <cell r="BV231">
            <v>0.46666666666666662</v>
          </cell>
        </row>
        <row r="247">
          <cell r="BV247">
            <v>0.54999999999999993</v>
          </cell>
        </row>
        <row r="263">
          <cell r="BV263">
            <v>0.33333333333333331</v>
          </cell>
        </row>
        <row r="279">
          <cell r="BV279">
            <v>0.21666666666666667</v>
          </cell>
        </row>
        <row r="295">
          <cell r="BV295">
            <v>0.16666666666666666</v>
          </cell>
        </row>
        <row r="311">
          <cell r="BV311">
            <v>0.46666666666666662</v>
          </cell>
        </row>
        <row r="327">
          <cell r="BV327">
            <v>0.51666666666666672</v>
          </cell>
        </row>
        <row r="343">
          <cell r="BV343">
            <v>0.40000000000000008</v>
          </cell>
        </row>
        <row r="359">
          <cell r="BV359">
            <v>0.2583333333333333</v>
          </cell>
        </row>
        <row r="375">
          <cell r="BV375">
            <v>0.33333333333333331</v>
          </cell>
        </row>
        <row r="391">
          <cell r="BV391">
            <v>0.44999999999999996</v>
          </cell>
        </row>
        <row r="407">
          <cell r="BV407">
            <v>0.51666666666666672</v>
          </cell>
        </row>
        <row r="423">
          <cell r="BV423">
            <v>0.41666666666666669</v>
          </cell>
        </row>
        <row r="439">
          <cell r="BV439">
            <v>0.25833333333333336</v>
          </cell>
        </row>
        <row r="455">
          <cell r="BV455">
            <v>8.3333333333333329E-2</v>
          </cell>
        </row>
        <row r="471">
          <cell r="BV471">
            <v>0</v>
          </cell>
        </row>
      </sheetData>
      <sheetData sheetId="2" refreshError="1"/>
      <sheetData sheetId="3">
        <row r="4">
          <cell r="C4">
            <v>4223.8235220883544</v>
          </cell>
          <cell r="D4">
            <v>0</v>
          </cell>
        </row>
        <row r="5">
          <cell r="C5">
            <v>4106.4436030176321</v>
          </cell>
          <cell r="D5">
            <v>0</v>
          </cell>
        </row>
        <row r="6">
          <cell r="C6">
            <v>4110.1664104569672</v>
          </cell>
          <cell r="D6">
            <v>0</v>
          </cell>
        </row>
        <row r="7">
          <cell r="C7">
            <v>4127.6004516476887</v>
          </cell>
          <cell r="D7">
            <v>0</v>
          </cell>
        </row>
        <row r="8">
          <cell r="C8">
            <v>4097.2521049948673</v>
          </cell>
          <cell r="D8">
            <v>0</v>
          </cell>
        </row>
        <row r="9">
          <cell r="C9">
            <v>4191.2695175438594</v>
          </cell>
          <cell r="D9">
            <v>0</v>
          </cell>
        </row>
        <row r="10">
          <cell r="C10">
            <v>4140.3756666666668</v>
          </cell>
          <cell r="D10">
            <v>0</v>
          </cell>
        </row>
        <row r="11">
          <cell r="C11">
            <v>4161.1376721884053</v>
          </cell>
          <cell r="D11">
            <v>0</v>
          </cell>
        </row>
        <row r="12">
          <cell r="C12">
            <v>4177.076540719002</v>
          </cell>
          <cell r="D12">
            <v>0</v>
          </cell>
        </row>
        <row r="13">
          <cell r="C13">
            <v>4291.6948435934773</v>
          </cell>
          <cell r="D13">
            <v>0</v>
          </cell>
        </row>
        <row r="14">
          <cell r="C14">
            <v>4183.3309748427673</v>
          </cell>
          <cell r="D14">
            <v>0</v>
          </cell>
        </row>
        <row r="15">
          <cell r="C15">
            <v>4277.8773545483773</v>
          </cell>
          <cell r="D15">
            <v>0</v>
          </cell>
        </row>
        <row r="16">
          <cell r="C16">
            <v>4255.1726581464945</v>
          </cell>
          <cell r="D16">
            <v>0</v>
          </cell>
        </row>
        <row r="17">
          <cell r="C17">
            <v>4326.0433452999523</v>
          </cell>
          <cell r="D17">
            <v>0</v>
          </cell>
        </row>
        <row r="18">
          <cell r="C18">
            <v>4168.5168083333328</v>
          </cell>
          <cell r="D18">
            <v>0</v>
          </cell>
        </row>
        <row r="19">
          <cell r="C19">
            <v>4293.9022637752323</v>
          </cell>
          <cell r="D19">
            <v>0</v>
          </cell>
        </row>
        <row r="20">
          <cell r="C20">
            <v>4173.4542124542131</v>
          </cell>
          <cell r="D20">
            <v>0</v>
          </cell>
        </row>
        <row r="21">
          <cell r="C21">
            <v>4113.159333333334</v>
          </cell>
          <cell r="D21">
            <v>0</v>
          </cell>
        </row>
        <row r="22">
          <cell r="C22">
            <v>4168.7607843137257</v>
          </cell>
          <cell r="D22">
            <v>0</v>
          </cell>
        </row>
        <row r="23">
          <cell r="C23">
            <v>4183.4738604651166</v>
          </cell>
          <cell r="D23">
            <v>0</v>
          </cell>
        </row>
        <row r="24">
          <cell r="C24">
            <v>4334.2489711934149</v>
          </cell>
          <cell r="D24">
            <v>0</v>
          </cell>
        </row>
        <row r="25">
          <cell r="C25">
            <v>4369.4101892543849</v>
          </cell>
          <cell r="D25">
            <v>0</v>
          </cell>
        </row>
        <row r="26">
          <cell r="C26">
            <v>4328.9056800940443</v>
          </cell>
          <cell r="D26">
            <v>0</v>
          </cell>
        </row>
        <row r="27">
          <cell r="C27">
            <v>4351.2411660936968</v>
          </cell>
          <cell r="D27">
            <v>0</v>
          </cell>
        </row>
        <row r="28">
          <cell r="C28">
            <v>4264.4662210338674</v>
          </cell>
          <cell r="D28">
            <v>0</v>
          </cell>
        </row>
        <row r="29">
          <cell r="C29">
            <v>4247.905889608387</v>
          </cell>
          <cell r="D29">
            <v>0</v>
          </cell>
        </row>
        <row r="30">
          <cell r="C30">
            <v>4267.3946065428827</v>
          </cell>
          <cell r="D30">
            <v>0</v>
          </cell>
        </row>
        <row r="31">
          <cell r="C31">
            <v>4190.6075268817203</v>
          </cell>
          <cell r="D31">
            <v>0</v>
          </cell>
        </row>
        <row r="32">
          <cell r="C32">
            <v>4120.2601079286005</v>
          </cell>
          <cell r="D32">
            <v>0</v>
          </cell>
        </row>
        <row r="33">
          <cell r="C33">
            <v>4024.0721833578791</v>
          </cell>
          <cell r="D33">
            <v>0</v>
          </cell>
        </row>
      </sheetData>
      <sheetData sheetId="4">
        <row r="4">
          <cell r="B4">
            <v>1</v>
          </cell>
          <cell r="D4">
            <v>0</v>
          </cell>
          <cell r="E4">
            <v>0.3666666666666667</v>
          </cell>
          <cell r="F4">
            <v>0.6333333333333333</v>
          </cell>
          <cell r="G4">
            <v>0</v>
          </cell>
          <cell r="H4">
            <v>0</v>
          </cell>
        </row>
        <row r="5">
          <cell r="B5">
            <v>2</v>
          </cell>
          <cell r="D5">
            <v>0</v>
          </cell>
          <cell r="E5">
            <v>0.16666666666666666</v>
          </cell>
          <cell r="F5">
            <v>0.83333333333333337</v>
          </cell>
          <cell r="G5">
            <v>0</v>
          </cell>
          <cell r="H5">
            <v>0</v>
          </cell>
        </row>
        <row r="6">
          <cell r="B6">
            <v>3</v>
          </cell>
          <cell r="D6">
            <v>0</v>
          </cell>
          <cell r="E6">
            <v>0.31666666666666665</v>
          </cell>
          <cell r="F6">
            <v>0.68333333333333335</v>
          </cell>
          <cell r="G6">
            <v>0</v>
          </cell>
          <cell r="H6">
            <v>0</v>
          </cell>
        </row>
        <row r="7">
          <cell r="B7">
            <v>4</v>
          </cell>
          <cell r="D7">
            <v>0</v>
          </cell>
          <cell r="E7">
            <v>0.3</v>
          </cell>
          <cell r="F7">
            <v>0.7</v>
          </cell>
          <cell r="G7">
            <v>0</v>
          </cell>
          <cell r="H7">
            <v>0</v>
          </cell>
        </row>
        <row r="8">
          <cell r="B8">
            <v>5</v>
          </cell>
          <cell r="D8">
            <v>0</v>
          </cell>
          <cell r="E8">
            <v>0.3</v>
          </cell>
          <cell r="F8">
            <v>0.7</v>
          </cell>
          <cell r="G8">
            <v>0</v>
          </cell>
          <cell r="H8">
            <v>0</v>
          </cell>
        </row>
        <row r="9">
          <cell r="B9">
            <v>6</v>
          </cell>
          <cell r="D9">
            <v>0</v>
          </cell>
          <cell r="E9">
            <v>0.40833333333333338</v>
          </cell>
          <cell r="F9">
            <v>0.59166666666666656</v>
          </cell>
          <cell r="G9">
            <v>0</v>
          </cell>
          <cell r="H9">
            <v>0</v>
          </cell>
        </row>
        <row r="10">
          <cell r="B10">
            <v>7</v>
          </cell>
          <cell r="D10">
            <v>0</v>
          </cell>
          <cell r="E10">
            <v>0.31666666666666665</v>
          </cell>
          <cell r="F10">
            <v>0.68333333333333335</v>
          </cell>
          <cell r="G10">
            <v>0</v>
          </cell>
          <cell r="H10">
            <v>0</v>
          </cell>
        </row>
        <row r="11">
          <cell r="B11">
            <v>8</v>
          </cell>
          <cell r="D11">
            <v>0</v>
          </cell>
          <cell r="E11">
            <v>0.33333333333333331</v>
          </cell>
          <cell r="F11">
            <v>0.66666666666666674</v>
          </cell>
          <cell r="G11">
            <v>0</v>
          </cell>
          <cell r="H11">
            <v>0</v>
          </cell>
        </row>
        <row r="12">
          <cell r="B12">
            <v>9</v>
          </cell>
          <cell r="D12">
            <v>0</v>
          </cell>
          <cell r="E12">
            <v>0.3</v>
          </cell>
          <cell r="F12">
            <v>0.7</v>
          </cell>
          <cell r="G12">
            <v>0</v>
          </cell>
          <cell r="H12">
            <v>0</v>
          </cell>
        </row>
        <row r="13">
          <cell r="B13">
            <v>10</v>
          </cell>
          <cell r="D13">
            <v>0</v>
          </cell>
          <cell r="E13">
            <v>0.39999999999999997</v>
          </cell>
          <cell r="F13">
            <v>0.60000000000000009</v>
          </cell>
          <cell r="G13">
            <v>0</v>
          </cell>
          <cell r="H13">
            <v>0</v>
          </cell>
        </row>
        <row r="14">
          <cell r="B14">
            <v>11</v>
          </cell>
          <cell r="D14">
            <v>0</v>
          </cell>
          <cell r="E14">
            <v>0.45</v>
          </cell>
          <cell r="F14">
            <v>0.55000000000000004</v>
          </cell>
          <cell r="G14">
            <v>0</v>
          </cell>
          <cell r="H14">
            <v>0</v>
          </cell>
        </row>
        <row r="15">
          <cell r="B15">
            <v>12</v>
          </cell>
          <cell r="D15">
            <v>0</v>
          </cell>
          <cell r="E15">
            <v>0.5</v>
          </cell>
          <cell r="F15">
            <v>0.5</v>
          </cell>
          <cell r="G15">
            <v>0</v>
          </cell>
          <cell r="H15">
            <v>0</v>
          </cell>
        </row>
        <row r="16">
          <cell r="B16">
            <v>13</v>
          </cell>
          <cell r="D16">
            <v>0</v>
          </cell>
          <cell r="E16">
            <v>0.30833333333333329</v>
          </cell>
          <cell r="F16">
            <v>0.69166666666666665</v>
          </cell>
          <cell r="G16">
            <v>0</v>
          </cell>
          <cell r="H16">
            <v>0</v>
          </cell>
        </row>
        <row r="17">
          <cell r="B17">
            <v>14</v>
          </cell>
          <cell r="D17">
            <v>0</v>
          </cell>
          <cell r="E17">
            <v>0.42499999999999999</v>
          </cell>
          <cell r="F17">
            <v>0.57499999999999996</v>
          </cell>
          <cell r="G17">
            <v>0</v>
          </cell>
          <cell r="H17">
            <v>0</v>
          </cell>
        </row>
        <row r="18">
          <cell r="B18">
            <v>15</v>
          </cell>
          <cell r="D18">
            <v>0</v>
          </cell>
          <cell r="E18">
            <v>0.46666666666666662</v>
          </cell>
          <cell r="F18">
            <v>0.53333333333333344</v>
          </cell>
          <cell r="G18">
            <v>0</v>
          </cell>
          <cell r="H18">
            <v>0</v>
          </cell>
        </row>
        <row r="19">
          <cell r="B19">
            <v>16</v>
          </cell>
          <cell r="D19">
            <v>0</v>
          </cell>
          <cell r="E19">
            <v>0.54999999999999993</v>
          </cell>
          <cell r="F19">
            <v>0.45000000000000007</v>
          </cell>
          <cell r="G19">
            <v>0</v>
          </cell>
          <cell r="H19">
            <v>0</v>
          </cell>
        </row>
        <row r="20">
          <cell r="B20">
            <v>17</v>
          </cell>
          <cell r="D20">
            <v>0</v>
          </cell>
          <cell r="E20">
            <v>0.33333333333333331</v>
          </cell>
          <cell r="F20">
            <v>0.66666666666666674</v>
          </cell>
          <cell r="G20">
            <v>0</v>
          </cell>
          <cell r="H20">
            <v>0</v>
          </cell>
        </row>
        <row r="21">
          <cell r="B21">
            <v>18</v>
          </cell>
          <cell r="D21">
            <v>0</v>
          </cell>
          <cell r="E21">
            <v>0.21666666666666667</v>
          </cell>
          <cell r="F21">
            <v>0.78333333333333333</v>
          </cell>
          <cell r="G21">
            <v>0</v>
          </cell>
          <cell r="H21">
            <v>0</v>
          </cell>
        </row>
        <row r="22">
          <cell r="B22">
            <v>19</v>
          </cell>
          <cell r="D22">
            <v>0</v>
          </cell>
          <cell r="E22">
            <v>0.16666666666666666</v>
          </cell>
          <cell r="F22">
            <v>0.83333333333333337</v>
          </cell>
          <cell r="G22">
            <v>0</v>
          </cell>
          <cell r="H22">
            <v>0</v>
          </cell>
        </row>
        <row r="23">
          <cell r="B23">
            <v>20</v>
          </cell>
          <cell r="D23">
            <v>0</v>
          </cell>
          <cell r="E23">
            <v>0.46666666666666662</v>
          </cell>
          <cell r="F23">
            <v>0.53333333333333344</v>
          </cell>
          <cell r="G23">
            <v>0</v>
          </cell>
          <cell r="H23">
            <v>0</v>
          </cell>
        </row>
        <row r="24">
          <cell r="B24">
            <v>21</v>
          </cell>
          <cell r="D24">
            <v>0</v>
          </cell>
          <cell r="E24">
            <v>0.51666666666666672</v>
          </cell>
          <cell r="F24">
            <v>0.48333333333333328</v>
          </cell>
          <cell r="G24">
            <v>0</v>
          </cell>
          <cell r="H24">
            <v>0</v>
          </cell>
        </row>
        <row r="25">
          <cell r="B25">
            <v>22</v>
          </cell>
          <cell r="D25">
            <v>0</v>
          </cell>
          <cell r="E25">
            <v>0.40000000000000008</v>
          </cell>
          <cell r="F25">
            <v>0.59999999999999987</v>
          </cell>
          <cell r="G25">
            <v>0</v>
          </cell>
          <cell r="H25">
            <v>0</v>
          </cell>
        </row>
        <row r="26">
          <cell r="B26">
            <v>23</v>
          </cell>
          <cell r="D26">
            <v>0</v>
          </cell>
          <cell r="E26">
            <v>0.2583333333333333</v>
          </cell>
          <cell r="F26">
            <v>0.7416666666666667</v>
          </cell>
          <cell r="G26">
            <v>0</v>
          </cell>
          <cell r="H26">
            <v>0</v>
          </cell>
        </row>
        <row r="27">
          <cell r="B27">
            <v>24</v>
          </cell>
          <cell r="D27">
            <v>0</v>
          </cell>
          <cell r="E27">
            <v>0.33333333333333331</v>
          </cell>
          <cell r="F27">
            <v>0.66666666666666674</v>
          </cell>
          <cell r="G27">
            <v>0</v>
          </cell>
          <cell r="H27">
            <v>0</v>
          </cell>
        </row>
        <row r="28">
          <cell r="B28">
            <v>25</v>
          </cell>
          <cell r="D28">
            <v>0</v>
          </cell>
          <cell r="E28">
            <v>0.44999999999999996</v>
          </cell>
          <cell r="F28">
            <v>0.55000000000000004</v>
          </cell>
          <cell r="G28">
            <v>0</v>
          </cell>
          <cell r="H28">
            <v>0</v>
          </cell>
        </row>
        <row r="29">
          <cell r="B29">
            <v>26</v>
          </cell>
          <cell r="D29">
            <v>0</v>
          </cell>
          <cell r="E29">
            <v>0.51666666666666672</v>
          </cell>
          <cell r="F29">
            <v>0.48333333333333328</v>
          </cell>
          <cell r="G29">
            <v>0</v>
          </cell>
          <cell r="H29">
            <v>0</v>
          </cell>
        </row>
        <row r="30">
          <cell r="B30">
            <v>27</v>
          </cell>
          <cell r="D30">
            <v>0</v>
          </cell>
          <cell r="E30">
            <v>0.41666666666666669</v>
          </cell>
          <cell r="F30">
            <v>0.58333333333333326</v>
          </cell>
          <cell r="G30">
            <v>0</v>
          </cell>
          <cell r="H30">
            <v>0</v>
          </cell>
        </row>
        <row r="31">
          <cell r="B31">
            <v>28</v>
          </cell>
          <cell r="D31">
            <v>0</v>
          </cell>
          <cell r="E31">
            <v>0.25833333333333336</v>
          </cell>
          <cell r="F31">
            <v>0.7416666666666667</v>
          </cell>
          <cell r="G31">
            <v>0</v>
          </cell>
          <cell r="H31">
            <v>0</v>
          </cell>
        </row>
        <row r="32">
          <cell r="B32">
            <v>29</v>
          </cell>
          <cell r="D32">
            <v>0</v>
          </cell>
          <cell r="E32">
            <v>8.3333333333333329E-2</v>
          </cell>
          <cell r="F32">
            <v>0.91666666666666663</v>
          </cell>
          <cell r="G32">
            <v>0</v>
          </cell>
          <cell r="H32">
            <v>0</v>
          </cell>
        </row>
        <row r="33">
          <cell r="B33">
            <v>30</v>
          </cell>
          <cell r="D33">
            <v>0</v>
          </cell>
          <cell r="E33">
            <v>0</v>
          </cell>
          <cell r="F33">
            <v>1</v>
          </cell>
          <cell r="G33">
            <v>0</v>
          </cell>
          <cell r="H33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ATU"/>
      <sheetName val="Coal Blend"/>
      <sheetName val="Resume Coal Blend"/>
      <sheetName val="Estimasi NPHR"/>
      <sheetName val="UNIT 1"/>
      <sheetName val="UNIT 2"/>
      <sheetName val="UNIT 3"/>
      <sheetName val="COAL BLENDING MARET 2020"/>
      <sheetName val="INPUT DATA"/>
      <sheetName val="kWh Gross"/>
      <sheetName val="MaxMin"/>
    </sheetNames>
    <sheetDataSet>
      <sheetData sheetId="0"/>
      <sheetData sheetId="1">
        <row r="7">
          <cell r="BV7">
            <v>3.3333333333333333E-2</v>
          </cell>
        </row>
        <row r="23">
          <cell r="BV23">
            <v>9.9999999999999992E-2</v>
          </cell>
        </row>
        <row r="39">
          <cell r="BV39">
            <v>0.13333333333333333</v>
          </cell>
        </row>
        <row r="55">
          <cell r="BV55">
            <v>4.9999999999999996E-2</v>
          </cell>
        </row>
        <row r="71">
          <cell r="BV71">
            <v>0.35833333333333339</v>
          </cell>
        </row>
        <row r="87">
          <cell r="BV87">
            <v>0.5</v>
          </cell>
        </row>
        <row r="103">
          <cell r="BV103">
            <v>0.35833333333333334</v>
          </cell>
        </row>
        <row r="119">
          <cell r="BV119">
            <v>0.69166666666666676</v>
          </cell>
        </row>
        <row r="135">
          <cell r="BV135">
            <v>0.5</v>
          </cell>
        </row>
        <row r="151">
          <cell r="BV151">
            <v>0.6166666666666667</v>
          </cell>
        </row>
        <row r="167">
          <cell r="BV167">
            <v>0.66666666666666663</v>
          </cell>
        </row>
        <row r="183">
          <cell r="BV183">
            <v>0.29166666666666669</v>
          </cell>
        </row>
        <row r="199">
          <cell r="BV199">
            <v>0.43333333333333335</v>
          </cell>
        </row>
        <row r="215">
          <cell r="BV215">
            <v>0.6</v>
          </cell>
        </row>
        <row r="231">
          <cell r="BV231">
            <v>0.46666666666666662</v>
          </cell>
        </row>
        <row r="247">
          <cell r="BV247">
            <v>0.5</v>
          </cell>
        </row>
        <row r="263">
          <cell r="BV263">
            <v>0.60833333333333328</v>
          </cell>
        </row>
        <row r="279">
          <cell r="BV279">
            <v>0.6</v>
          </cell>
        </row>
        <row r="295">
          <cell r="BV295">
            <v>0.58333333333333337</v>
          </cell>
        </row>
        <row r="311">
          <cell r="BV311">
            <v>0.13333333333333333</v>
          </cell>
        </row>
        <row r="327">
          <cell r="BV327">
            <v>0.19999999999999998</v>
          </cell>
        </row>
        <row r="343">
          <cell r="BV343">
            <v>8.3333333333333329E-2</v>
          </cell>
        </row>
        <row r="359">
          <cell r="BV359">
            <v>0</v>
          </cell>
        </row>
        <row r="375">
          <cell r="BV375">
            <v>0</v>
          </cell>
        </row>
        <row r="391">
          <cell r="BV391">
            <v>0</v>
          </cell>
        </row>
        <row r="407">
          <cell r="BV407">
            <v>0</v>
          </cell>
        </row>
        <row r="423">
          <cell r="BV423">
            <v>0</v>
          </cell>
        </row>
        <row r="439">
          <cell r="BV439">
            <v>0</v>
          </cell>
        </row>
        <row r="455">
          <cell r="BV455">
            <v>0</v>
          </cell>
        </row>
        <row r="471">
          <cell r="BV471">
            <v>0</v>
          </cell>
        </row>
      </sheetData>
      <sheetData sheetId="2"/>
      <sheetData sheetId="3">
        <row r="4">
          <cell r="C4">
            <v>4020.8740079365075</v>
          </cell>
          <cell r="D4">
            <v>0</v>
          </cell>
        </row>
        <row r="5">
          <cell r="C5">
            <v>4101.0212121212126</v>
          </cell>
          <cell r="D5">
            <v>0</v>
          </cell>
        </row>
        <row r="6">
          <cell r="C6">
            <v>4114.5691501400561</v>
          </cell>
          <cell r="D6">
            <v>0</v>
          </cell>
        </row>
        <row r="7">
          <cell r="C7">
            <v>4108.195652173913</v>
          </cell>
          <cell r="D7">
            <v>0</v>
          </cell>
        </row>
        <row r="8">
          <cell r="C8">
            <v>4100.9234489702521</v>
          </cell>
          <cell r="D8">
            <v>0</v>
          </cell>
        </row>
        <row r="9">
          <cell r="C9">
            <v>4187.3412936531277</v>
          </cell>
          <cell r="D9">
            <v>0</v>
          </cell>
        </row>
        <row r="10">
          <cell r="C10">
            <v>4128.1633559090906</v>
          </cell>
          <cell r="D10">
            <v>0</v>
          </cell>
        </row>
        <row r="11">
          <cell r="C11">
            <v>4291.7727213675216</v>
          </cell>
          <cell r="D11">
            <v>0</v>
          </cell>
        </row>
        <row r="12">
          <cell r="C12">
            <v>4234.9923609756097</v>
          </cell>
          <cell r="D12">
            <v>0</v>
          </cell>
        </row>
        <row r="13">
          <cell r="C13">
            <v>4289.0027086601303</v>
          </cell>
          <cell r="D13">
            <v>0</v>
          </cell>
        </row>
        <row r="14">
          <cell r="C14">
            <v>4244.5341025641028</v>
          </cell>
          <cell r="D14">
            <v>0</v>
          </cell>
        </row>
        <row r="15">
          <cell r="C15">
            <v>4131.8799895833336</v>
          </cell>
          <cell r="D15">
            <v>0</v>
          </cell>
        </row>
        <row r="16">
          <cell r="C16">
            <v>4205.3598717948726</v>
          </cell>
          <cell r="D16">
            <v>0</v>
          </cell>
        </row>
        <row r="17">
          <cell r="C17">
            <v>4006.6925078052445</v>
          </cell>
          <cell r="D17">
            <v>0</v>
          </cell>
        </row>
        <row r="18">
          <cell r="C18">
            <v>4181.2407665505225</v>
          </cell>
          <cell r="D18">
            <v>0</v>
          </cell>
        </row>
        <row r="19">
          <cell r="C19">
            <v>4255.9503410059669</v>
          </cell>
          <cell r="D19">
            <v>0</v>
          </cell>
        </row>
        <row r="20">
          <cell r="C20">
            <v>4240.7251630226319</v>
          </cell>
          <cell r="D20">
            <v>0</v>
          </cell>
        </row>
        <row r="21">
          <cell r="C21">
            <v>4260.1938285714295</v>
          </cell>
          <cell r="D21">
            <v>0</v>
          </cell>
        </row>
        <row r="22">
          <cell r="C22">
            <v>4013.782916666667</v>
          </cell>
          <cell r="D22">
            <v>0</v>
          </cell>
        </row>
        <row r="23">
          <cell r="C23">
            <v>3986.7634331140348</v>
          </cell>
          <cell r="D23">
            <v>0</v>
          </cell>
        </row>
        <row r="24">
          <cell r="C24">
            <v>4137.2</v>
          </cell>
          <cell r="D24">
            <v>0</v>
          </cell>
        </row>
        <row r="25">
          <cell r="C25">
            <v>4079.5589916316749</v>
          </cell>
          <cell r="D25">
            <v>0</v>
          </cell>
        </row>
        <row r="26">
          <cell r="C26" t="str">
            <v>0</v>
          </cell>
          <cell r="D26">
            <v>0</v>
          </cell>
        </row>
        <row r="27">
          <cell r="C27" t="str">
            <v>0</v>
          </cell>
          <cell r="D27">
            <v>0</v>
          </cell>
        </row>
        <row r="28">
          <cell r="C28" t="str">
            <v>0</v>
          </cell>
          <cell r="D28">
            <v>0</v>
          </cell>
        </row>
        <row r="29">
          <cell r="C29" t="str">
            <v>0</v>
          </cell>
          <cell r="D29">
            <v>0</v>
          </cell>
        </row>
        <row r="30">
          <cell r="C30" t="str">
            <v>0</v>
          </cell>
          <cell r="D30">
            <v>0</v>
          </cell>
        </row>
        <row r="31">
          <cell r="C31" t="str">
            <v>0</v>
          </cell>
          <cell r="D31">
            <v>0</v>
          </cell>
        </row>
        <row r="32">
          <cell r="C32" t="str">
            <v>0</v>
          </cell>
          <cell r="D32">
            <v>0</v>
          </cell>
        </row>
        <row r="33">
          <cell r="C33" t="str">
            <v>0</v>
          </cell>
          <cell r="D33">
            <v>0</v>
          </cell>
        </row>
      </sheetData>
      <sheetData sheetId="4">
        <row r="4">
          <cell r="B4">
            <v>1</v>
          </cell>
          <cell r="D4">
            <v>0</v>
          </cell>
          <cell r="E4">
            <v>3.3333333333333333E-2</v>
          </cell>
          <cell r="F4">
            <v>0.96666666666666667</v>
          </cell>
          <cell r="G4">
            <v>0</v>
          </cell>
          <cell r="H4">
            <v>0</v>
          </cell>
        </row>
        <row r="5">
          <cell r="B5">
            <v>2</v>
          </cell>
          <cell r="D5">
            <v>0</v>
          </cell>
          <cell r="E5">
            <v>9.9999999999999992E-2</v>
          </cell>
          <cell r="F5">
            <v>0.9</v>
          </cell>
          <cell r="G5">
            <v>0</v>
          </cell>
          <cell r="H5">
            <v>0</v>
          </cell>
        </row>
        <row r="6">
          <cell r="B6">
            <v>3</v>
          </cell>
          <cell r="D6">
            <v>0</v>
          </cell>
          <cell r="E6">
            <v>0.13333333333333333</v>
          </cell>
          <cell r="F6">
            <v>0.8666666666666667</v>
          </cell>
          <cell r="G6">
            <v>0</v>
          </cell>
          <cell r="H6">
            <v>0</v>
          </cell>
        </row>
        <row r="7">
          <cell r="B7">
            <v>4</v>
          </cell>
          <cell r="D7">
            <v>0</v>
          </cell>
          <cell r="E7">
            <v>4.9999999999999996E-2</v>
          </cell>
          <cell r="F7">
            <v>0.95</v>
          </cell>
          <cell r="G7">
            <v>0</v>
          </cell>
          <cell r="H7">
            <v>0</v>
          </cell>
        </row>
        <row r="8">
          <cell r="B8">
            <v>5</v>
          </cell>
          <cell r="D8">
            <v>0</v>
          </cell>
          <cell r="E8">
            <v>0.35833333333333339</v>
          </cell>
          <cell r="F8">
            <v>0.64166666666666661</v>
          </cell>
          <cell r="G8">
            <v>0</v>
          </cell>
          <cell r="H8">
            <v>0</v>
          </cell>
        </row>
        <row r="9">
          <cell r="B9">
            <v>6</v>
          </cell>
          <cell r="D9">
            <v>0</v>
          </cell>
          <cell r="E9">
            <v>0.5</v>
          </cell>
          <cell r="F9">
            <v>0.5</v>
          </cell>
          <cell r="G9">
            <v>0</v>
          </cell>
          <cell r="H9">
            <v>0</v>
          </cell>
        </row>
        <row r="10">
          <cell r="B10">
            <v>7</v>
          </cell>
          <cell r="D10">
            <v>0</v>
          </cell>
          <cell r="E10">
            <v>0.35833333333333334</v>
          </cell>
          <cell r="F10">
            <v>0.64166666666666661</v>
          </cell>
          <cell r="G10">
            <v>0</v>
          </cell>
          <cell r="H10">
            <v>0</v>
          </cell>
        </row>
        <row r="11">
          <cell r="B11">
            <v>8</v>
          </cell>
          <cell r="D11">
            <v>0</v>
          </cell>
          <cell r="E11">
            <v>0.69166666666666676</v>
          </cell>
          <cell r="F11">
            <v>0.30833333333333324</v>
          </cell>
          <cell r="G11">
            <v>0</v>
          </cell>
          <cell r="H11">
            <v>0</v>
          </cell>
        </row>
        <row r="12">
          <cell r="B12">
            <v>9</v>
          </cell>
          <cell r="D12">
            <v>0</v>
          </cell>
          <cell r="E12">
            <v>0.5</v>
          </cell>
          <cell r="F12">
            <v>0.5</v>
          </cell>
          <cell r="G12">
            <v>0</v>
          </cell>
          <cell r="H12">
            <v>0</v>
          </cell>
        </row>
        <row r="13">
          <cell r="B13">
            <v>10</v>
          </cell>
          <cell r="D13">
            <v>0</v>
          </cell>
          <cell r="E13">
            <v>0.6166666666666667</v>
          </cell>
          <cell r="F13">
            <v>0.3833333333333333</v>
          </cell>
          <cell r="G13">
            <v>0</v>
          </cell>
          <cell r="H13">
            <v>0</v>
          </cell>
        </row>
        <row r="14">
          <cell r="B14">
            <v>11</v>
          </cell>
          <cell r="D14">
            <v>0</v>
          </cell>
          <cell r="E14">
            <v>0.66666666666666663</v>
          </cell>
          <cell r="F14">
            <v>0.33333333333333337</v>
          </cell>
          <cell r="G14">
            <v>0</v>
          </cell>
          <cell r="H14">
            <v>0</v>
          </cell>
        </row>
        <row r="15">
          <cell r="B15">
            <v>12</v>
          </cell>
          <cell r="D15">
            <v>0</v>
          </cell>
          <cell r="E15">
            <v>0.29166666666666669</v>
          </cell>
          <cell r="F15">
            <v>0.70833333333333326</v>
          </cell>
          <cell r="G15">
            <v>0</v>
          </cell>
          <cell r="H15">
            <v>0</v>
          </cell>
        </row>
        <row r="16">
          <cell r="B16">
            <v>13</v>
          </cell>
          <cell r="D16">
            <v>0</v>
          </cell>
          <cell r="E16">
            <v>0.43333333333333335</v>
          </cell>
          <cell r="F16">
            <v>0.56666666666666665</v>
          </cell>
          <cell r="G16">
            <v>0</v>
          </cell>
          <cell r="H16">
            <v>0</v>
          </cell>
        </row>
        <row r="17">
          <cell r="B17">
            <v>14</v>
          </cell>
          <cell r="D17">
            <v>0</v>
          </cell>
          <cell r="E17">
            <v>0.6</v>
          </cell>
          <cell r="F17">
            <v>0.4</v>
          </cell>
          <cell r="G17">
            <v>0</v>
          </cell>
          <cell r="H17">
            <v>0</v>
          </cell>
        </row>
        <row r="18">
          <cell r="B18">
            <v>15</v>
          </cell>
          <cell r="D18">
            <v>0</v>
          </cell>
          <cell r="E18">
            <v>0.46666666666666662</v>
          </cell>
          <cell r="F18">
            <v>0.53333333333333344</v>
          </cell>
          <cell r="G18">
            <v>0</v>
          </cell>
          <cell r="H18">
            <v>0</v>
          </cell>
        </row>
        <row r="19">
          <cell r="B19">
            <v>16</v>
          </cell>
          <cell r="D19">
            <v>0</v>
          </cell>
          <cell r="E19">
            <v>0.5</v>
          </cell>
          <cell r="F19">
            <v>0.5</v>
          </cell>
          <cell r="G19">
            <v>0</v>
          </cell>
          <cell r="H19">
            <v>0</v>
          </cell>
        </row>
        <row r="20">
          <cell r="B20">
            <v>17</v>
          </cell>
          <cell r="D20">
            <v>0</v>
          </cell>
          <cell r="E20">
            <v>0.60833333333333328</v>
          </cell>
          <cell r="F20">
            <v>0.39166666666666672</v>
          </cell>
          <cell r="G20">
            <v>0</v>
          </cell>
          <cell r="H20">
            <v>0</v>
          </cell>
        </row>
        <row r="21">
          <cell r="B21">
            <v>18</v>
          </cell>
          <cell r="D21">
            <v>0</v>
          </cell>
          <cell r="E21">
            <v>0.6</v>
          </cell>
          <cell r="F21">
            <v>0.4</v>
          </cell>
          <cell r="G21">
            <v>0</v>
          </cell>
          <cell r="H21">
            <v>0</v>
          </cell>
        </row>
        <row r="22">
          <cell r="B22">
            <v>19</v>
          </cell>
          <cell r="D22">
            <v>0</v>
          </cell>
          <cell r="E22">
            <v>0.58333333333333337</v>
          </cell>
          <cell r="F22">
            <v>0.41666666666666663</v>
          </cell>
          <cell r="G22">
            <v>0</v>
          </cell>
          <cell r="H22">
            <v>0</v>
          </cell>
        </row>
        <row r="23">
          <cell r="B23">
            <v>20</v>
          </cell>
          <cell r="D23">
            <v>0</v>
          </cell>
          <cell r="E23">
            <v>0.13333333333333333</v>
          </cell>
          <cell r="F23">
            <v>0.8666666666666667</v>
          </cell>
          <cell r="G23">
            <v>0</v>
          </cell>
          <cell r="H23">
            <v>0</v>
          </cell>
        </row>
        <row r="24">
          <cell r="B24">
            <v>21</v>
          </cell>
          <cell r="D24">
            <v>0</v>
          </cell>
          <cell r="E24">
            <v>0.19999999999999998</v>
          </cell>
          <cell r="F24">
            <v>0.8</v>
          </cell>
          <cell r="G24">
            <v>0</v>
          </cell>
          <cell r="H24">
            <v>0</v>
          </cell>
        </row>
        <row r="25">
          <cell r="B25">
            <v>22</v>
          </cell>
          <cell r="D25">
            <v>0</v>
          </cell>
          <cell r="E25">
            <v>8.3333333333333329E-2</v>
          </cell>
          <cell r="F25">
            <v>0.91666666666666663</v>
          </cell>
          <cell r="G25">
            <v>0</v>
          </cell>
          <cell r="H25">
            <v>0</v>
          </cell>
        </row>
        <row r="26">
          <cell r="B26">
            <v>23</v>
          </cell>
          <cell r="D26">
            <v>0</v>
          </cell>
          <cell r="E26">
            <v>0</v>
          </cell>
          <cell r="F26">
            <v>1</v>
          </cell>
          <cell r="G26">
            <v>0</v>
          </cell>
          <cell r="H26">
            <v>0</v>
          </cell>
        </row>
        <row r="27">
          <cell r="B27">
            <v>24</v>
          </cell>
          <cell r="D27">
            <v>0</v>
          </cell>
          <cell r="E27">
            <v>0</v>
          </cell>
          <cell r="F27">
            <v>1</v>
          </cell>
          <cell r="G27">
            <v>0</v>
          </cell>
          <cell r="H27">
            <v>0</v>
          </cell>
        </row>
        <row r="28">
          <cell r="B28">
            <v>25</v>
          </cell>
          <cell r="D28">
            <v>0</v>
          </cell>
          <cell r="E28">
            <v>0</v>
          </cell>
          <cell r="F28">
            <v>1</v>
          </cell>
          <cell r="G28">
            <v>0</v>
          </cell>
          <cell r="H28">
            <v>0</v>
          </cell>
        </row>
        <row r="29">
          <cell r="B29">
            <v>26</v>
          </cell>
          <cell r="D29">
            <v>0</v>
          </cell>
          <cell r="E29">
            <v>0</v>
          </cell>
          <cell r="F29">
            <v>1</v>
          </cell>
          <cell r="G29">
            <v>0</v>
          </cell>
          <cell r="H29">
            <v>0</v>
          </cell>
        </row>
        <row r="30">
          <cell r="B30">
            <v>27</v>
          </cell>
          <cell r="D30">
            <v>0</v>
          </cell>
          <cell r="E30">
            <v>0</v>
          </cell>
          <cell r="F30">
            <v>1</v>
          </cell>
          <cell r="G30">
            <v>0</v>
          </cell>
          <cell r="H30">
            <v>0</v>
          </cell>
        </row>
        <row r="31">
          <cell r="B31">
            <v>28</v>
          </cell>
          <cell r="D31">
            <v>0</v>
          </cell>
          <cell r="E31">
            <v>0</v>
          </cell>
          <cell r="F31">
            <v>1</v>
          </cell>
          <cell r="G31">
            <v>0</v>
          </cell>
          <cell r="H31">
            <v>0</v>
          </cell>
        </row>
        <row r="32">
          <cell r="B32">
            <v>29</v>
          </cell>
          <cell r="D32">
            <v>0</v>
          </cell>
          <cell r="E32">
            <v>0</v>
          </cell>
          <cell r="F32">
            <v>1</v>
          </cell>
          <cell r="G32">
            <v>0</v>
          </cell>
          <cell r="H32">
            <v>0</v>
          </cell>
        </row>
        <row r="33">
          <cell r="B33">
            <v>30</v>
          </cell>
          <cell r="D33">
            <v>0</v>
          </cell>
          <cell r="E33">
            <v>0</v>
          </cell>
          <cell r="F33">
            <v>1</v>
          </cell>
          <cell r="G33">
            <v>0</v>
          </cell>
          <cell r="H33">
            <v>0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ATU"/>
      <sheetName val="Coal Blend"/>
      <sheetName val="Resume Coal Blend"/>
      <sheetName val="Estimasi NPHR"/>
      <sheetName val="UNIT 2"/>
      <sheetName val="UNIT 3"/>
      <sheetName val="COAL BLENDING MARET 2020"/>
      <sheetName val="INPUT DATA"/>
      <sheetName val="kWh Gross"/>
      <sheetName val="MaxMin"/>
    </sheetNames>
    <sheetDataSet>
      <sheetData sheetId="0"/>
      <sheetData sheetId="1">
        <row r="7">
          <cell r="BV7">
            <v>0.22500000000000001</v>
          </cell>
        </row>
        <row r="23">
          <cell r="BV23">
            <v>0.48333333333333334</v>
          </cell>
        </row>
        <row r="39">
          <cell r="BV39">
            <v>0.71666666666666679</v>
          </cell>
        </row>
        <row r="55">
          <cell r="BV55">
            <v>0.95833333333333337</v>
          </cell>
        </row>
        <row r="71">
          <cell r="BV71">
            <v>0.25</v>
          </cell>
        </row>
        <row r="87">
          <cell r="BV87">
            <v>0.58333333333333337</v>
          </cell>
        </row>
        <row r="103">
          <cell r="BV103">
            <v>0.83333333333333337</v>
          </cell>
        </row>
        <row r="119">
          <cell r="BV119">
            <v>0.8666666666666667</v>
          </cell>
        </row>
        <row r="135">
          <cell r="BV135">
            <v>0.90833333333333333</v>
          </cell>
        </row>
        <row r="151">
          <cell r="BV151">
            <v>0.53333333333333333</v>
          </cell>
        </row>
        <row r="167">
          <cell r="BV167">
            <v>0.81666666666666676</v>
          </cell>
        </row>
        <row r="183">
          <cell r="BV183">
            <v>0.54999999999999993</v>
          </cell>
        </row>
        <row r="199">
          <cell r="BV199">
            <v>0.63333333333333341</v>
          </cell>
        </row>
        <row r="215">
          <cell r="BV215">
            <v>0.46666666666666662</v>
          </cell>
        </row>
        <row r="231">
          <cell r="BV231">
            <v>0.45</v>
          </cell>
        </row>
        <row r="247">
          <cell r="BV247">
            <v>0.50833333333333341</v>
          </cell>
        </row>
        <row r="263">
          <cell r="BV263">
            <v>0.54166666666666663</v>
          </cell>
        </row>
        <row r="279">
          <cell r="BV279">
            <v>0.66666666666666663</v>
          </cell>
        </row>
        <row r="295">
          <cell r="BV295">
            <v>0.45</v>
          </cell>
        </row>
        <row r="311">
          <cell r="BV311">
            <v>0.41666666666666669</v>
          </cell>
        </row>
        <row r="327">
          <cell r="BV327">
            <v>0.70000000000000007</v>
          </cell>
        </row>
        <row r="343">
          <cell r="BV343">
            <v>0.64166666666666672</v>
          </cell>
        </row>
        <row r="359">
          <cell r="BV359">
            <v>0.45833333333333331</v>
          </cell>
        </row>
        <row r="375">
          <cell r="BV375">
            <v>0.46666666666666673</v>
          </cell>
        </row>
        <row r="391">
          <cell r="BV391">
            <v>0.44999999999999996</v>
          </cell>
        </row>
        <row r="407">
          <cell r="BV407">
            <v>0.57499999999999996</v>
          </cell>
        </row>
        <row r="423">
          <cell r="BV423">
            <v>0.5</v>
          </cell>
        </row>
        <row r="439">
          <cell r="BV439">
            <v>0.38333333333333336</v>
          </cell>
        </row>
        <row r="455">
          <cell r="BV455">
            <v>0</v>
          </cell>
        </row>
        <row r="471">
          <cell r="BV471">
            <v>0</v>
          </cell>
        </row>
      </sheetData>
      <sheetData sheetId="2"/>
      <sheetData sheetId="3">
        <row r="4">
          <cell r="C4">
            <v>4109.3239943502822</v>
          </cell>
          <cell r="D4">
            <v>0</v>
          </cell>
        </row>
        <row r="5">
          <cell r="C5">
            <v>4266.1188873563215</v>
          </cell>
          <cell r="D5">
            <v>0</v>
          </cell>
        </row>
        <row r="6">
          <cell r="C6">
            <v>4294.3159864357867</v>
          </cell>
          <cell r="D6">
            <v>0</v>
          </cell>
        </row>
        <row r="7">
          <cell r="C7">
            <v>4351.3813183881066</v>
          </cell>
          <cell r="D7">
            <v>0</v>
          </cell>
        </row>
        <row r="8">
          <cell r="C8">
            <v>4139.0521617543864</v>
          </cell>
          <cell r="D8">
            <v>0</v>
          </cell>
        </row>
        <row r="9">
          <cell r="C9">
            <v>4287.9663186625357</v>
          </cell>
          <cell r="D9">
            <v>0</v>
          </cell>
        </row>
        <row r="10">
          <cell r="C10">
            <v>4276.504753977063</v>
          </cell>
          <cell r="D10">
            <v>0</v>
          </cell>
        </row>
        <row r="11">
          <cell r="C11">
            <v>4298.7124606060606</v>
          </cell>
          <cell r="D11">
            <v>0</v>
          </cell>
        </row>
        <row r="12">
          <cell r="C12">
            <v>4284.362543469786</v>
          </cell>
          <cell r="D12">
            <v>0</v>
          </cell>
        </row>
        <row r="13">
          <cell r="C13">
            <v>4253.2344028536736</v>
          </cell>
          <cell r="D13">
            <v>0</v>
          </cell>
        </row>
        <row r="14">
          <cell r="C14">
            <v>4385.1510925925932</v>
          </cell>
          <cell r="D14">
            <v>0</v>
          </cell>
        </row>
        <row r="15">
          <cell r="C15">
            <v>4229.064375959596</v>
          </cell>
          <cell r="D15">
            <v>0</v>
          </cell>
        </row>
        <row r="16">
          <cell r="C16">
            <v>4289.6677448337823</v>
          </cell>
          <cell r="D16">
            <v>0</v>
          </cell>
        </row>
        <row r="17">
          <cell r="C17">
            <v>4203.9509204318083</v>
          </cell>
          <cell r="D17">
            <v>0</v>
          </cell>
        </row>
        <row r="18">
          <cell r="C18">
            <v>4155.9278528637869</v>
          </cell>
          <cell r="D18">
            <v>0</v>
          </cell>
        </row>
        <row r="19">
          <cell r="C19">
            <v>4242.020306410257</v>
          </cell>
          <cell r="D19">
            <v>0</v>
          </cell>
        </row>
        <row r="20">
          <cell r="C20">
            <v>4206.5946993464049</v>
          </cell>
          <cell r="D20">
            <v>0</v>
          </cell>
        </row>
        <row r="21">
          <cell r="C21">
            <v>4337.8232758620688</v>
          </cell>
          <cell r="D21">
            <v>0</v>
          </cell>
        </row>
        <row r="22">
          <cell r="C22">
            <v>4192.8269305962849</v>
          </cell>
          <cell r="D22">
            <v>0</v>
          </cell>
        </row>
        <row r="23">
          <cell r="C23">
            <v>4220.8056144067796</v>
          </cell>
          <cell r="D23">
            <v>0</v>
          </cell>
        </row>
        <row r="24">
          <cell r="C24">
            <v>4298.2433227513229</v>
          </cell>
          <cell r="D24">
            <v>0</v>
          </cell>
        </row>
        <row r="25">
          <cell r="C25">
            <v>4315.7227128271861</v>
          </cell>
          <cell r="D25">
            <v>0</v>
          </cell>
        </row>
        <row r="26">
          <cell r="C26">
            <v>4247.1529734724945</v>
          </cell>
          <cell r="D26">
            <v>0</v>
          </cell>
        </row>
        <row r="27">
          <cell r="C27">
            <v>4262.7660573042776</v>
          </cell>
          <cell r="D27">
            <v>0</v>
          </cell>
        </row>
        <row r="28">
          <cell r="C28">
            <v>4241.5753692564749</v>
          </cell>
          <cell r="D28">
            <v>0</v>
          </cell>
        </row>
        <row r="29">
          <cell r="C29">
            <v>4320.4892794918333</v>
          </cell>
          <cell r="D29">
            <v>0</v>
          </cell>
        </row>
        <row r="30">
          <cell r="C30">
            <v>4387.0578913043491</v>
          </cell>
          <cell r="D30">
            <v>0</v>
          </cell>
        </row>
        <row r="31">
          <cell r="C31">
            <v>4221.6414596273289</v>
          </cell>
          <cell r="D31">
            <v>0</v>
          </cell>
        </row>
        <row r="32">
          <cell r="C32" t="str">
            <v>0</v>
          </cell>
          <cell r="D32">
            <v>0</v>
          </cell>
        </row>
        <row r="33">
          <cell r="C33" t="str">
            <v>0</v>
          </cell>
          <cell r="D33">
            <v>0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ATU"/>
      <sheetName val="Coal Blend"/>
      <sheetName val="Resume Coal Blend"/>
      <sheetName val="Estimasi NPHR"/>
      <sheetName val="UNIT 1"/>
      <sheetName val="UNIT 2"/>
      <sheetName val="UNIT 3"/>
      <sheetName val="COAL BLENDING MARET 2020"/>
      <sheetName val="INPUT DATA"/>
      <sheetName val="kWh Gross"/>
      <sheetName val="MaxMin"/>
    </sheetNames>
    <sheetDataSet>
      <sheetData sheetId="0"/>
      <sheetData sheetId="1">
        <row r="7">
          <cell r="BV7">
            <v>0.48333333333333339</v>
          </cell>
        </row>
        <row r="23">
          <cell r="BV23">
            <v>0.47499999999999992</v>
          </cell>
        </row>
        <row r="39">
          <cell r="BV39">
            <v>0.5083333333333333</v>
          </cell>
        </row>
        <row r="55">
          <cell r="BV55">
            <v>0.55833333333333324</v>
          </cell>
        </row>
        <row r="71">
          <cell r="BV71">
            <v>0.65833333333333333</v>
          </cell>
        </row>
        <row r="87">
          <cell r="BV87">
            <v>0.59166666666666667</v>
          </cell>
        </row>
        <row r="103">
          <cell r="BV103">
            <v>0.60833333333333328</v>
          </cell>
        </row>
        <row r="119">
          <cell r="BV119">
            <v>0.41666666666666669</v>
          </cell>
        </row>
        <row r="135">
          <cell r="BV135">
            <v>0.39999999999999997</v>
          </cell>
        </row>
        <row r="151">
          <cell r="BV151">
            <v>0.41666666666666669</v>
          </cell>
        </row>
        <row r="167">
          <cell r="BV167">
            <v>0.42499999999999999</v>
          </cell>
        </row>
        <row r="183">
          <cell r="BV183">
            <v>0.43333333333333335</v>
          </cell>
        </row>
        <row r="199">
          <cell r="BV199">
            <v>0.61666666666666659</v>
          </cell>
        </row>
        <row r="215">
          <cell r="BV215">
            <v>0.51666666666666672</v>
          </cell>
        </row>
        <row r="231">
          <cell r="BV231">
            <v>0.52500000000000002</v>
          </cell>
        </row>
        <row r="247">
          <cell r="BV247">
            <v>0.4916666666666667</v>
          </cell>
        </row>
        <row r="263">
          <cell r="BV263">
            <v>0.53333333333333333</v>
          </cell>
        </row>
        <row r="279">
          <cell r="BV279">
            <v>0.3666666666666667</v>
          </cell>
        </row>
        <row r="295">
          <cell r="BV295">
            <v>0.28333333333333338</v>
          </cell>
        </row>
        <row r="311">
          <cell r="BV311">
            <v>0.56666666666666676</v>
          </cell>
        </row>
        <row r="327">
          <cell r="BV327">
            <v>0.6</v>
          </cell>
        </row>
        <row r="343">
          <cell r="BV343">
            <v>0.46666666666666673</v>
          </cell>
        </row>
        <row r="359">
          <cell r="BV359">
            <v>0.26666666666666666</v>
          </cell>
        </row>
        <row r="375">
          <cell r="BV375">
            <v>0.40833333333333338</v>
          </cell>
        </row>
        <row r="391">
          <cell r="BV391">
            <v>0.48333333333333339</v>
          </cell>
        </row>
        <row r="407">
          <cell r="BV407">
            <v>0.35000000000000003</v>
          </cell>
        </row>
        <row r="423">
          <cell r="BV423">
            <v>0.6</v>
          </cell>
        </row>
        <row r="439">
          <cell r="BV439">
            <v>0.5</v>
          </cell>
        </row>
        <row r="455">
          <cell r="BV455">
            <v>0.28333333333333338</v>
          </cell>
        </row>
        <row r="471">
          <cell r="BV471">
            <v>0.3833333333333333</v>
          </cell>
        </row>
      </sheetData>
      <sheetData sheetId="2"/>
      <sheetData sheetId="3">
        <row r="4">
          <cell r="C4">
            <v>4194.4378579763988</v>
          </cell>
          <cell r="D4">
            <v>0</v>
          </cell>
        </row>
        <row r="5">
          <cell r="C5">
            <v>4240.5580444444449</v>
          </cell>
          <cell r="D5">
            <v>0</v>
          </cell>
        </row>
        <row r="6">
          <cell r="C6">
            <v>3981.9935897435898</v>
          </cell>
          <cell r="D6">
            <v>0</v>
          </cell>
        </row>
        <row r="7">
          <cell r="C7">
            <v>4288.5181468165601</v>
          </cell>
          <cell r="D7">
            <v>0</v>
          </cell>
        </row>
        <row r="8">
          <cell r="C8">
            <v>4397.2076799282841</v>
          </cell>
          <cell r="D8">
            <v>0</v>
          </cell>
        </row>
        <row r="9">
          <cell r="C9">
            <v>4289.8931418350176</v>
          </cell>
          <cell r="D9">
            <v>0</v>
          </cell>
        </row>
        <row r="10">
          <cell r="C10">
            <v>4392.5210393141933</v>
          </cell>
          <cell r="D10">
            <v>0</v>
          </cell>
        </row>
        <row r="11">
          <cell r="C11">
            <v>4223.4444444444443</v>
          </cell>
          <cell r="D11">
            <v>0</v>
          </cell>
        </row>
        <row r="12">
          <cell r="C12">
            <v>4154.3077529761904</v>
          </cell>
          <cell r="D12">
            <v>0</v>
          </cell>
        </row>
        <row r="13">
          <cell r="C13">
            <v>4176.4806722689073</v>
          </cell>
          <cell r="D13">
            <v>0</v>
          </cell>
        </row>
        <row r="14">
          <cell r="C14">
            <v>4084.6595617376297</v>
          </cell>
          <cell r="D14">
            <v>0</v>
          </cell>
        </row>
        <row r="15">
          <cell r="C15">
            <v>4273.0999999999995</v>
          </cell>
          <cell r="D15">
            <v>0</v>
          </cell>
        </row>
        <row r="16">
          <cell r="C16">
            <v>4360.1371212121212</v>
          </cell>
          <cell r="D16">
            <v>0</v>
          </cell>
        </row>
        <row r="17">
          <cell r="C17">
            <v>4342.6902350877199</v>
          </cell>
          <cell r="D17">
            <v>0</v>
          </cell>
        </row>
        <row r="18">
          <cell r="C18">
            <v>4293.5137777777782</v>
          </cell>
          <cell r="D18">
            <v>0</v>
          </cell>
        </row>
        <row r="19">
          <cell r="C19">
            <v>4264.8760424954789</v>
          </cell>
          <cell r="D19">
            <v>0</v>
          </cell>
        </row>
        <row r="20">
          <cell r="C20">
            <v>4277.8935897435895</v>
          </cell>
          <cell r="D20">
            <v>0</v>
          </cell>
        </row>
        <row r="21">
          <cell r="C21">
            <v>4176.523080952381</v>
          </cell>
          <cell r="D21">
            <v>0</v>
          </cell>
        </row>
        <row r="22">
          <cell r="C22">
            <v>4190.2499424242424</v>
          </cell>
          <cell r="D22">
            <v>0</v>
          </cell>
        </row>
        <row r="23">
          <cell r="C23">
            <v>4313.4333333333334</v>
          </cell>
          <cell r="D23">
            <v>0</v>
          </cell>
        </row>
        <row r="24">
          <cell r="C24">
            <v>4292</v>
          </cell>
          <cell r="D24">
            <v>0</v>
          </cell>
        </row>
        <row r="25">
          <cell r="C25">
            <v>4221.1446773049647</v>
          </cell>
          <cell r="D25">
            <v>0</v>
          </cell>
        </row>
        <row r="26">
          <cell r="C26">
            <v>4264.5192395264112</v>
          </cell>
          <cell r="D26">
            <v>0</v>
          </cell>
        </row>
        <row r="27">
          <cell r="C27">
            <v>4254.3231761755478</v>
          </cell>
          <cell r="D27">
            <v>0</v>
          </cell>
        </row>
        <row r="28">
          <cell r="C28">
            <v>4314.2055952380952</v>
          </cell>
          <cell r="D28">
            <v>0</v>
          </cell>
        </row>
        <row r="29">
          <cell r="C29">
            <v>4225.9449712643682</v>
          </cell>
          <cell r="D29">
            <v>0</v>
          </cell>
        </row>
        <row r="30">
          <cell r="C30">
            <v>4304.9542993620416</v>
          </cell>
          <cell r="D30">
            <v>0</v>
          </cell>
        </row>
        <row r="31">
          <cell r="C31">
            <v>4284.4282796092803</v>
          </cell>
          <cell r="D31">
            <v>0</v>
          </cell>
        </row>
        <row r="32">
          <cell r="C32">
            <v>4215.3964015151514</v>
          </cell>
          <cell r="D32">
            <v>0</v>
          </cell>
        </row>
        <row r="33">
          <cell r="C33">
            <v>4267.5978723404251</v>
          </cell>
          <cell r="D33">
            <v>0</v>
          </cell>
        </row>
      </sheetData>
      <sheetData sheetId="4">
        <row r="4">
          <cell r="B4">
            <v>1</v>
          </cell>
          <cell r="D4">
            <v>0</v>
          </cell>
          <cell r="E4">
            <v>0.48333333333333339</v>
          </cell>
          <cell r="F4">
            <v>0.51666666666666661</v>
          </cell>
          <cell r="G4">
            <v>0</v>
          </cell>
          <cell r="H4">
            <v>0</v>
          </cell>
        </row>
        <row r="5">
          <cell r="B5">
            <v>2</v>
          </cell>
          <cell r="D5">
            <v>0</v>
          </cell>
          <cell r="E5">
            <v>0.47499999999999992</v>
          </cell>
          <cell r="F5">
            <v>0.52500000000000013</v>
          </cell>
          <cell r="G5">
            <v>0</v>
          </cell>
          <cell r="H5">
            <v>0</v>
          </cell>
        </row>
        <row r="6">
          <cell r="B6">
            <v>3</v>
          </cell>
          <cell r="D6">
            <v>0</v>
          </cell>
          <cell r="E6">
            <v>0.5083333333333333</v>
          </cell>
          <cell r="F6">
            <v>0.4916666666666667</v>
          </cell>
          <cell r="G6">
            <v>0</v>
          </cell>
          <cell r="H6">
            <v>0</v>
          </cell>
        </row>
        <row r="7">
          <cell r="B7">
            <v>4</v>
          </cell>
          <cell r="D7">
            <v>0</v>
          </cell>
          <cell r="E7">
            <v>0.55833333333333324</v>
          </cell>
          <cell r="F7">
            <v>0.44166666666666676</v>
          </cell>
          <cell r="G7">
            <v>0</v>
          </cell>
          <cell r="H7">
            <v>0</v>
          </cell>
        </row>
        <row r="8">
          <cell r="B8">
            <v>5</v>
          </cell>
          <cell r="D8">
            <v>0</v>
          </cell>
          <cell r="E8">
            <v>0.65833333333333333</v>
          </cell>
          <cell r="F8">
            <v>0.34166666666666667</v>
          </cell>
          <cell r="G8">
            <v>0</v>
          </cell>
          <cell r="H8">
            <v>0</v>
          </cell>
        </row>
        <row r="9">
          <cell r="B9">
            <v>6</v>
          </cell>
          <cell r="D9">
            <v>0</v>
          </cell>
          <cell r="E9">
            <v>0.59166666666666667</v>
          </cell>
          <cell r="F9">
            <v>0.40833333333333333</v>
          </cell>
          <cell r="G9">
            <v>0</v>
          </cell>
          <cell r="H9">
            <v>0</v>
          </cell>
        </row>
        <row r="10">
          <cell r="B10">
            <v>7</v>
          </cell>
          <cell r="D10">
            <v>0</v>
          </cell>
          <cell r="E10">
            <v>0.60833333333333328</v>
          </cell>
          <cell r="F10">
            <v>0.39166666666666672</v>
          </cell>
          <cell r="G10">
            <v>0</v>
          </cell>
          <cell r="H10">
            <v>0</v>
          </cell>
        </row>
        <row r="11">
          <cell r="B11">
            <v>8</v>
          </cell>
          <cell r="D11">
            <v>0</v>
          </cell>
          <cell r="E11">
            <v>0.41666666666666669</v>
          </cell>
          <cell r="F11">
            <v>0.58333333333333326</v>
          </cell>
          <cell r="G11">
            <v>0</v>
          </cell>
          <cell r="H11">
            <v>0</v>
          </cell>
        </row>
        <row r="12">
          <cell r="B12">
            <v>9</v>
          </cell>
          <cell r="D12">
            <v>0</v>
          </cell>
          <cell r="E12">
            <v>0.39999999999999997</v>
          </cell>
          <cell r="F12">
            <v>0.60000000000000009</v>
          </cell>
          <cell r="G12">
            <v>0</v>
          </cell>
          <cell r="H12">
            <v>0</v>
          </cell>
        </row>
        <row r="13">
          <cell r="B13">
            <v>10</v>
          </cell>
          <cell r="D13">
            <v>0</v>
          </cell>
          <cell r="E13">
            <v>0.41666666666666669</v>
          </cell>
          <cell r="F13">
            <v>0.58333333333333326</v>
          </cell>
          <cell r="G13">
            <v>0</v>
          </cell>
          <cell r="H13">
            <v>0</v>
          </cell>
        </row>
        <row r="14">
          <cell r="B14">
            <v>11</v>
          </cell>
          <cell r="D14">
            <v>0</v>
          </cell>
          <cell r="E14">
            <v>0.42499999999999999</v>
          </cell>
          <cell r="F14">
            <v>0.57499999999999996</v>
          </cell>
          <cell r="G14">
            <v>0</v>
          </cell>
          <cell r="H14">
            <v>0</v>
          </cell>
        </row>
        <row r="15">
          <cell r="B15">
            <v>12</v>
          </cell>
          <cell r="D15">
            <v>0</v>
          </cell>
          <cell r="E15">
            <v>0.43333333333333335</v>
          </cell>
          <cell r="F15">
            <v>0.56666666666666665</v>
          </cell>
          <cell r="G15">
            <v>0</v>
          </cell>
          <cell r="H15">
            <v>0</v>
          </cell>
        </row>
        <row r="16">
          <cell r="B16">
            <v>13</v>
          </cell>
          <cell r="D16">
            <v>0</v>
          </cell>
          <cell r="E16">
            <v>0.61666666666666659</v>
          </cell>
          <cell r="F16">
            <v>0.38333333333333341</v>
          </cell>
          <cell r="G16">
            <v>0</v>
          </cell>
          <cell r="H16">
            <v>0</v>
          </cell>
        </row>
        <row r="17">
          <cell r="B17">
            <v>14</v>
          </cell>
          <cell r="D17">
            <v>0</v>
          </cell>
          <cell r="E17">
            <v>0.51666666666666672</v>
          </cell>
          <cell r="F17">
            <v>0.48333333333333328</v>
          </cell>
          <cell r="G17">
            <v>0</v>
          </cell>
          <cell r="H17">
            <v>0</v>
          </cell>
        </row>
        <row r="18">
          <cell r="B18">
            <v>15</v>
          </cell>
          <cell r="D18">
            <v>0</v>
          </cell>
          <cell r="E18">
            <v>0.52500000000000002</v>
          </cell>
          <cell r="F18">
            <v>0.47499999999999998</v>
          </cell>
          <cell r="G18">
            <v>0</v>
          </cell>
          <cell r="H18">
            <v>0</v>
          </cell>
        </row>
        <row r="19">
          <cell r="B19">
            <v>16</v>
          </cell>
          <cell r="D19">
            <v>0</v>
          </cell>
          <cell r="E19">
            <v>0.4916666666666667</v>
          </cell>
          <cell r="F19">
            <v>0.5083333333333333</v>
          </cell>
          <cell r="G19">
            <v>0</v>
          </cell>
          <cell r="H19">
            <v>0</v>
          </cell>
        </row>
        <row r="20">
          <cell r="B20">
            <v>17</v>
          </cell>
          <cell r="D20">
            <v>0</v>
          </cell>
          <cell r="E20">
            <v>0.53333333333333333</v>
          </cell>
          <cell r="F20">
            <v>0.46666666666666667</v>
          </cell>
          <cell r="G20">
            <v>0</v>
          </cell>
          <cell r="H20">
            <v>0</v>
          </cell>
        </row>
        <row r="21">
          <cell r="B21">
            <v>18</v>
          </cell>
          <cell r="D21">
            <v>0</v>
          </cell>
          <cell r="E21">
            <v>0.3666666666666667</v>
          </cell>
          <cell r="F21">
            <v>0.6333333333333333</v>
          </cell>
          <cell r="G21">
            <v>0</v>
          </cell>
          <cell r="H21">
            <v>0</v>
          </cell>
        </row>
        <row r="22">
          <cell r="B22">
            <v>19</v>
          </cell>
          <cell r="D22">
            <v>0</v>
          </cell>
          <cell r="E22">
            <v>0.28333333333333338</v>
          </cell>
          <cell r="F22">
            <v>0.71666666666666656</v>
          </cell>
          <cell r="G22">
            <v>0</v>
          </cell>
          <cell r="H22">
            <v>0</v>
          </cell>
        </row>
        <row r="23">
          <cell r="B23">
            <v>20</v>
          </cell>
          <cell r="D23">
            <v>0</v>
          </cell>
          <cell r="E23">
            <v>0.56666666666666676</v>
          </cell>
          <cell r="F23">
            <v>0.43333333333333324</v>
          </cell>
          <cell r="G23">
            <v>0</v>
          </cell>
          <cell r="H23">
            <v>0</v>
          </cell>
        </row>
        <row r="24">
          <cell r="B24">
            <v>21</v>
          </cell>
          <cell r="D24">
            <v>0</v>
          </cell>
          <cell r="E24">
            <v>0.6</v>
          </cell>
          <cell r="F24">
            <v>0.4</v>
          </cell>
          <cell r="G24">
            <v>0</v>
          </cell>
          <cell r="H24">
            <v>0</v>
          </cell>
        </row>
        <row r="25">
          <cell r="B25">
            <v>22</v>
          </cell>
          <cell r="D25">
            <v>0</v>
          </cell>
          <cell r="E25">
            <v>0.46666666666666673</v>
          </cell>
          <cell r="F25">
            <v>0.53333333333333321</v>
          </cell>
          <cell r="G25">
            <v>0</v>
          </cell>
          <cell r="H25">
            <v>0</v>
          </cell>
        </row>
        <row r="26">
          <cell r="B26">
            <v>23</v>
          </cell>
          <cell r="D26">
            <v>0</v>
          </cell>
          <cell r="E26">
            <v>0.26666666666666666</v>
          </cell>
          <cell r="F26">
            <v>0.73333333333333339</v>
          </cell>
          <cell r="G26">
            <v>0</v>
          </cell>
          <cell r="H26">
            <v>0</v>
          </cell>
        </row>
        <row r="27">
          <cell r="B27">
            <v>24</v>
          </cell>
          <cell r="D27">
            <v>0</v>
          </cell>
          <cell r="E27">
            <v>0.40833333333333338</v>
          </cell>
          <cell r="F27">
            <v>0.59166666666666656</v>
          </cell>
          <cell r="G27">
            <v>0</v>
          </cell>
          <cell r="H27">
            <v>0</v>
          </cell>
        </row>
        <row r="28">
          <cell r="B28">
            <v>25</v>
          </cell>
          <cell r="D28">
            <v>0</v>
          </cell>
          <cell r="E28">
            <v>0.48333333333333339</v>
          </cell>
          <cell r="F28">
            <v>0.51666666666666661</v>
          </cell>
          <cell r="G28">
            <v>0</v>
          </cell>
          <cell r="H28">
            <v>0</v>
          </cell>
        </row>
        <row r="29">
          <cell r="B29">
            <v>26</v>
          </cell>
          <cell r="D29">
            <v>0</v>
          </cell>
          <cell r="E29">
            <v>0.35000000000000003</v>
          </cell>
          <cell r="F29">
            <v>0.64999999999999991</v>
          </cell>
          <cell r="G29">
            <v>0</v>
          </cell>
          <cell r="H29">
            <v>0</v>
          </cell>
        </row>
        <row r="30">
          <cell r="B30">
            <v>27</v>
          </cell>
          <cell r="D30">
            <v>0</v>
          </cell>
          <cell r="E30">
            <v>0.6</v>
          </cell>
          <cell r="F30">
            <v>0.4</v>
          </cell>
          <cell r="G30">
            <v>0</v>
          </cell>
          <cell r="H30">
            <v>0</v>
          </cell>
        </row>
        <row r="31">
          <cell r="B31">
            <v>28</v>
          </cell>
          <cell r="D31">
            <v>0</v>
          </cell>
          <cell r="E31">
            <v>0.5</v>
          </cell>
          <cell r="F31">
            <v>0.5</v>
          </cell>
          <cell r="G31">
            <v>0</v>
          </cell>
          <cell r="H31">
            <v>0</v>
          </cell>
        </row>
        <row r="32">
          <cell r="B32">
            <v>29</v>
          </cell>
          <cell r="D32">
            <v>0</v>
          </cell>
          <cell r="E32">
            <v>0.28333333333333338</v>
          </cell>
          <cell r="F32">
            <v>0.71666666666666656</v>
          </cell>
          <cell r="G32">
            <v>0</v>
          </cell>
          <cell r="H32">
            <v>0</v>
          </cell>
        </row>
        <row r="33">
          <cell r="B33">
            <v>30</v>
          </cell>
          <cell r="D33">
            <v>0</v>
          </cell>
          <cell r="E33">
            <v>0.3833333333333333</v>
          </cell>
          <cell r="F33">
            <v>0.6166666666666667</v>
          </cell>
          <cell r="G33">
            <v>0</v>
          </cell>
          <cell r="H33">
            <v>0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ATU"/>
      <sheetName val="Coal Blend"/>
      <sheetName val="Resume Coal Blend"/>
      <sheetName val="Estimasi NPHR"/>
      <sheetName val="UNIT 1"/>
      <sheetName val="UNIT 2"/>
      <sheetName val="UNIT 3"/>
      <sheetName val="COAL BLENDING MARET 2020"/>
      <sheetName val="INPUT DATA"/>
      <sheetName val="kWh Gross"/>
      <sheetName val="MaxMin"/>
    </sheetNames>
    <sheetDataSet>
      <sheetData sheetId="0"/>
      <sheetData sheetId="1">
        <row r="7">
          <cell r="BV7">
            <v>0.39166666666666666</v>
          </cell>
        </row>
        <row r="23">
          <cell r="BV23">
            <v>0.65</v>
          </cell>
        </row>
        <row r="39">
          <cell r="BV39">
            <v>0.56666666666666654</v>
          </cell>
        </row>
        <row r="55">
          <cell r="BV55">
            <v>0.56666666666666665</v>
          </cell>
        </row>
        <row r="71">
          <cell r="BV71">
            <v>0.43333333333333335</v>
          </cell>
        </row>
        <row r="87">
          <cell r="BV87">
            <v>0.33333333333333331</v>
          </cell>
        </row>
        <row r="103">
          <cell r="BV103">
            <v>0.26666666666666666</v>
          </cell>
        </row>
        <row r="119">
          <cell r="BV119">
            <v>0.5</v>
          </cell>
        </row>
        <row r="135">
          <cell r="BV135">
            <v>0.44166666666666671</v>
          </cell>
        </row>
        <row r="151">
          <cell r="BV151">
            <v>0.3666666666666667</v>
          </cell>
        </row>
        <row r="167">
          <cell r="BV167">
            <v>0.45</v>
          </cell>
        </row>
        <row r="183">
          <cell r="BV183">
            <v>0.39999999999999997</v>
          </cell>
        </row>
        <row r="199">
          <cell r="BV199">
            <v>0.28333333333333333</v>
          </cell>
        </row>
        <row r="215">
          <cell r="BV215">
            <v>0.5</v>
          </cell>
        </row>
        <row r="231">
          <cell r="BV231">
            <v>0.44166666666666665</v>
          </cell>
        </row>
        <row r="247">
          <cell r="BV247">
            <v>0.42499999999999999</v>
          </cell>
        </row>
        <row r="263">
          <cell r="BV263">
            <v>0.32500000000000001</v>
          </cell>
        </row>
        <row r="279">
          <cell r="BV279">
            <v>0.53333333333333333</v>
          </cell>
        </row>
        <row r="295">
          <cell r="BV295">
            <v>0.43333333333333335</v>
          </cell>
        </row>
        <row r="311">
          <cell r="BV311">
            <v>0.44166666666666665</v>
          </cell>
        </row>
        <row r="327">
          <cell r="BV327">
            <v>0.54999999999999993</v>
          </cell>
        </row>
        <row r="343">
          <cell r="BV343">
            <v>0.65833333333333333</v>
          </cell>
        </row>
        <row r="359">
          <cell r="BV359">
            <v>0.54999999999999993</v>
          </cell>
        </row>
        <row r="375">
          <cell r="BV375">
            <v>0.44166666666666671</v>
          </cell>
        </row>
        <row r="391">
          <cell r="BV391">
            <v>0.3833333333333333</v>
          </cell>
        </row>
        <row r="407">
          <cell r="BV407">
            <v>0.42499999999999999</v>
          </cell>
        </row>
        <row r="423">
          <cell r="BV423">
            <v>0.54999999999999993</v>
          </cell>
        </row>
        <row r="439">
          <cell r="BV439">
            <v>0.57500000000000007</v>
          </cell>
        </row>
        <row r="455">
          <cell r="BV455">
            <v>0.25</v>
          </cell>
        </row>
        <row r="471">
          <cell r="BV471">
            <v>0.29166666666666669</v>
          </cell>
        </row>
      </sheetData>
      <sheetData sheetId="2"/>
      <sheetData sheetId="3">
        <row r="4">
          <cell r="C4">
            <v>4217.8572274083544</v>
          </cell>
          <cell r="D4">
            <v>0</v>
          </cell>
        </row>
        <row r="5">
          <cell r="C5">
            <v>4252.7896197530872</v>
          </cell>
          <cell r="D5">
            <v>0</v>
          </cell>
        </row>
        <row r="6">
          <cell r="C6">
            <v>4326.4846179851256</v>
          </cell>
          <cell r="D6">
            <v>0</v>
          </cell>
        </row>
        <row r="7">
          <cell r="C7">
            <v>4375.9333333333334</v>
          </cell>
          <cell r="D7">
            <v>0</v>
          </cell>
        </row>
        <row r="8">
          <cell r="C8">
            <v>4300.9265306122452</v>
          </cell>
          <cell r="D8">
            <v>0</v>
          </cell>
        </row>
        <row r="9">
          <cell r="C9">
            <v>4358.666666666667</v>
          </cell>
          <cell r="D9">
            <v>0</v>
          </cell>
        </row>
        <row r="10">
          <cell r="C10">
            <v>4216.6197740112993</v>
          </cell>
          <cell r="D10">
            <v>0</v>
          </cell>
        </row>
        <row r="11">
          <cell r="C11">
            <v>4272.2090395480227</v>
          </cell>
          <cell r="D11">
            <v>0</v>
          </cell>
        </row>
        <row r="12">
          <cell r="C12">
            <v>4281.4057316017315</v>
          </cell>
          <cell r="D12">
            <v>0</v>
          </cell>
        </row>
        <row r="13">
          <cell r="C13">
            <v>4221.5323846153842</v>
          </cell>
          <cell r="D13">
            <v>0</v>
          </cell>
        </row>
        <row r="14">
          <cell r="C14">
            <v>4175.5833103366522</v>
          </cell>
          <cell r="D14">
            <v>0</v>
          </cell>
        </row>
        <row r="15">
          <cell r="C15">
            <v>4257.9660968660964</v>
          </cell>
          <cell r="D15">
            <v>0</v>
          </cell>
        </row>
        <row r="16">
          <cell r="C16">
            <v>4141.9050793650795</v>
          </cell>
          <cell r="D16">
            <v>0</v>
          </cell>
        </row>
        <row r="17">
          <cell r="C17">
            <v>4261.0499059606482</v>
          </cell>
          <cell r="D17">
            <v>0</v>
          </cell>
        </row>
        <row r="18">
          <cell r="C18">
            <v>4275.6389173913039</v>
          </cell>
          <cell r="D18">
            <v>0</v>
          </cell>
        </row>
        <row r="19">
          <cell r="C19">
            <v>4421.4728081140347</v>
          </cell>
          <cell r="D19">
            <v>0</v>
          </cell>
        </row>
        <row r="20">
          <cell r="C20">
            <v>4520.1193333333331</v>
          </cell>
          <cell r="D20">
            <v>0</v>
          </cell>
        </row>
        <row r="21">
          <cell r="C21">
            <v>4236.6646871686107</v>
          </cell>
          <cell r="D21">
            <v>0</v>
          </cell>
        </row>
        <row r="22">
          <cell r="C22">
            <v>4288.3424242424253</v>
          </cell>
          <cell r="D22">
            <v>0</v>
          </cell>
        </row>
        <row r="23">
          <cell r="C23">
            <v>4428.5863095238101</v>
          </cell>
          <cell r="D23">
            <v>0</v>
          </cell>
        </row>
        <row r="24">
          <cell r="C24">
            <v>4390.5358974358969</v>
          </cell>
          <cell r="D24">
            <v>0</v>
          </cell>
        </row>
        <row r="25">
          <cell r="C25">
            <v>4429.1385397692766</v>
          </cell>
          <cell r="D25">
            <v>0</v>
          </cell>
        </row>
        <row r="26">
          <cell r="C26">
            <v>4347.5225534188039</v>
          </cell>
          <cell r="D26">
            <v>0</v>
          </cell>
        </row>
        <row r="27">
          <cell r="C27">
            <v>4230.5641025641025</v>
          </cell>
          <cell r="D27">
            <v>0</v>
          </cell>
        </row>
        <row r="28">
          <cell r="C28">
            <v>4248.3970158906131</v>
          </cell>
          <cell r="D28">
            <v>0</v>
          </cell>
        </row>
        <row r="29">
          <cell r="C29">
            <v>4395.2768879268879</v>
          </cell>
          <cell r="D29">
            <v>0</v>
          </cell>
        </row>
        <row r="30">
          <cell r="C30">
            <v>4396.0385952418628</v>
          </cell>
          <cell r="D30">
            <v>0</v>
          </cell>
        </row>
        <row r="31">
          <cell r="C31">
            <v>4324.1829851143011</v>
          </cell>
          <cell r="D31">
            <v>0</v>
          </cell>
        </row>
        <row r="32">
          <cell r="C32">
            <v>4218.6927710843374</v>
          </cell>
          <cell r="D32">
            <v>0</v>
          </cell>
        </row>
        <row r="33">
          <cell r="C33">
            <v>4208.2580712788258</v>
          </cell>
          <cell r="D33">
            <v>0</v>
          </cell>
        </row>
      </sheetData>
      <sheetData sheetId="4">
        <row r="4">
          <cell r="B4">
            <v>1</v>
          </cell>
          <cell r="D4">
            <v>0</v>
          </cell>
          <cell r="E4">
            <v>0.39166666666666666</v>
          </cell>
          <cell r="F4">
            <v>0.60833333333333339</v>
          </cell>
          <cell r="G4">
            <v>0</v>
          </cell>
          <cell r="H4">
            <v>0</v>
          </cell>
        </row>
        <row r="5">
          <cell r="B5">
            <v>2</v>
          </cell>
          <cell r="D5">
            <v>0</v>
          </cell>
          <cell r="E5">
            <v>0.65</v>
          </cell>
          <cell r="F5">
            <v>0.35</v>
          </cell>
          <cell r="G5">
            <v>0</v>
          </cell>
          <cell r="H5">
            <v>0</v>
          </cell>
        </row>
        <row r="6">
          <cell r="B6">
            <v>3</v>
          </cell>
          <cell r="D6">
            <v>0</v>
          </cell>
          <cell r="E6">
            <v>0.56666666666666654</v>
          </cell>
          <cell r="F6">
            <v>0.43333333333333346</v>
          </cell>
          <cell r="G6">
            <v>0</v>
          </cell>
          <cell r="H6">
            <v>0</v>
          </cell>
        </row>
        <row r="7">
          <cell r="B7">
            <v>4</v>
          </cell>
          <cell r="D7">
            <v>0</v>
          </cell>
          <cell r="E7">
            <v>0.56666666666666665</v>
          </cell>
          <cell r="F7">
            <v>0.43333333333333335</v>
          </cell>
          <cell r="G7">
            <v>0</v>
          </cell>
          <cell r="H7">
            <v>0</v>
          </cell>
        </row>
        <row r="8">
          <cell r="B8">
            <v>5</v>
          </cell>
          <cell r="D8">
            <v>0</v>
          </cell>
          <cell r="E8">
            <v>0.43333333333333335</v>
          </cell>
          <cell r="F8">
            <v>0.56666666666666665</v>
          </cell>
          <cell r="G8">
            <v>0</v>
          </cell>
          <cell r="H8">
            <v>0</v>
          </cell>
        </row>
        <row r="9">
          <cell r="B9">
            <v>6</v>
          </cell>
          <cell r="D9">
            <v>0</v>
          </cell>
          <cell r="E9">
            <v>0.33333333333333331</v>
          </cell>
          <cell r="F9">
            <v>0.66666666666666674</v>
          </cell>
          <cell r="G9">
            <v>0</v>
          </cell>
          <cell r="H9">
            <v>0</v>
          </cell>
        </row>
        <row r="10">
          <cell r="B10">
            <v>7</v>
          </cell>
          <cell r="D10">
            <v>0</v>
          </cell>
          <cell r="E10">
            <v>0.26666666666666666</v>
          </cell>
          <cell r="F10">
            <v>0.73333333333333339</v>
          </cell>
          <cell r="G10">
            <v>0</v>
          </cell>
          <cell r="H10">
            <v>0</v>
          </cell>
        </row>
        <row r="11">
          <cell r="B11">
            <v>8</v>
          </cell>
          <cell r="D11">
            <v>0</v>
          </cell>
          <cell r="E11">
            <v>0.5</v>
          </cell>
          <cell r="F11">
            <v>0.5</v>
          </cell>
          <cell r="G11">
            <v>0</v>
          </cell>
          <cell r="H11">
            <v>0</v>
          </cell>
        </row>
        <row r="12">
          <cell r="B12">
            <v>9</v>
          </cell>
          <cell r="D12">
            <v>0</v>
          </cell>
          <cell r="E12">
            <v>0.44166666666666671</v>
          </cell>
          <cell r="F12">
            <v>0.55833333333333335</v>
          </cell>
          <cell r="G12">
            <v>0</v>
          </cell>
          <cell r="H12">
            <v>0</v>
          </cell>
        </row>
        <row r="13">
          <cell r="B13">
            <v>10</v>
          </cell>
          <cell r="D13">
            <v>0</v>
          </cell>
          <cell r="E13">
            <v>0.3666666666666667</v>
          </cell>
          <cell r="F13">
            <v>0.6333333333333333</v>
          </cell>
          <cell r="G13">
            <v>0</v>
          </cell>
          <cell r="H13">
            <v>0</v>
          </cell>
        </row>
        <row r="14">
          <cell r="B14">
            <v>11</v>
          </cell>
          <cell r="D14">
            <v>0</v>
          </cell>
          <cell r="E14">
            <v>0.45</v>
          </cell>
          <cell r="F14">
            <v>0.55000000000000004</v>
          </cell>
          <cell r="G14">
            <v>0</v>
          </cell>
          <cell r="H14">
            <v>0</v>
          </cell>
        </row>
        <row r="15">
          <cell r="B15">
            <v>12</v>
          </cell>
          <cell r="D15">
            <v>0</v>
          </cell>
          <cell r="E15">
            <v>0.39999999999999997</v>
          </cell>
          <cell r="F15">
            <v>0.60000000000000009</v>
          </cell>
          <cell r="G15">
            <v>0</v>
          </cell>
          <cell r="H15">
            <v>0</v>
          </cell>
        </row>
        <row r="16">
          <cell r="B16">
            <v>13</v>
          </cell>
          <cell r="D16">
            <v>0</v>
          </cell>
          <cell r="E16">
            <v>0.28333333333333333</v>
          </cell>
          <cell r="F16">
            <v>0.71666666666666667</v>
          </cell>
          <cell r="G16">
            <v>0</v>
          </cell>
          <cell r="H16">
            <v>0</v>
          </cell>
        </row>
        <row r="17">
          <cell r="B17">
            <v>14</v>
          </cell>
          <cell r="D17">
            <v>0</v>
          </cell>
          <cell r="E17">
            <v>0.5</v>
          </cell>
          <cell r="F17">
            <v>0.5</v>
          </cell>
          <cell r="G17">
            <v>0</v>
          </cell>
          <cell r="H17">
            <v>0</v>
          </cell>
        </row>
        <row r="18">
          <cell r="B18">
            <v>15</v>
          </cell>
          <cell r="D18">
            <v>0</v>
          </cell>
          <cell r="E18">
            <v>0.44166666666666665</v>
          </cell>
          <cell r="F18">
            <v>0.55833333333333335</v>
          </cell>
          <cell r="G18">
            <v>0</v>
          </cell>
          <cell r="H18">
            <v>0</v>
          </cell>
        </row>
        <row r="19">
          <cell r="B19">
            <v>16</v>
          </cell>
          <cell r="D19">
            <v>0</v>
          </cell>
          <cell r="E19">
            <v>0.42499999999999999</v>
          </cell>
          <cell r="F19">
            <v>0.57499999999999996</v>
          </cell>
          <cell r="G19">
            <v>0</v>
          </cell>
          <cell r="H19">
            <v>0</v>
          </cell>
        </row>
        <row r="20">
          <cell r="B20">
            <v>17</v>
          </cell>
          <cell r="D20">
            <v>0</v>
          </cell>
          <cell r="E20">
            <v>0.32500000000000001</v>
          </cell>
          <cell r="F20">
            <v>0.67500000000000004</v>
          </cell>
          <cell r="G20">
            <v>0</v>
          </cell>
          <cell r="H20">
            <v>0</v>
          </cell>
        </row>
        <row r="21">
          <cell r="B21">
            <v>18</v>
          </cell>
          <cell r="D21">
            <v>0</v>
          </cell>
          <cell r="E21">
            <v>0.53333333333333333</v>
          </cell>
          <cell r="F21">
            <v>0.46666666666666667</v>
          </cell>
          <cell r="G21">
            <v>0</v>
          </cell>
          <cell r="H21">
            <v>0</v>
          </cell>
        </row>
        <row r="22">
          <cell r="B22">
            <v>19</v>
          </cell>
          <cell r="D22">
            <v>0</v>
          </cell>
          <cell r="E22">
            <v>0.43333333333333335</v>
          </cell>
          <cell r="F22">
            <v>0.56666666666666665</v>
          </cell>
          <cell r="G22">
            <v>0</v>
          </cell>
          <cell r="H22">
            <v>0</v>
          </cell>
        </row>
        <row r="23">
          <cell r="B23">
            <v>20</v>
          </cell>
          <cell r="D23">
            <v>0</v>
          </cell>
          <cell r="E23">
            <v>0.44166666666666665</v>
          </cell>
          <cell r="F23">
            <v>0.55833333333333335</v>
          </cell>
          <cell r="G23">
            <v>0</v>
          </cell>
          <cell r="H23">
            <v>0</v>
          </cell>
        </row>
        <row r="24">
          <cell r="B24">
            <v>21</v>
          </cell>
          <cell r="D24">
            <v>0</v>
          </cell>
          <cell r="E24">
            <v>0.54999999999999993</v>
          </cell>
          <cell r="F24">
            <v>0.45000000000000007</v>
          </cell>
          <cell r="G24">
            <v>0</v>
          </cell>
          <cell r="H24">
            <v>0</v>
          </cell>
        </row>
        <row r="25">
          <cell r="B25">
            <v>22</v>
          </cell>
          <cell r="D25">
            <v>0</v>
          </cell>
          <cell r="E25">
            <v>0.65833333333333333</v>
          </cell>
          <cell r="F25">
            <v>0.34166666666666667</v>
          </cell>
          <cell r="G25">
            <v>0</v>
          </cell>
          <cell r="H25">
            <v>0</v>
          </cell>
        </row>
        <row r="26">
          <cell r="B26">
            <v>23</v>
          </cell>
          <cell r="D26">
            <v>0</v>
          </cell>
          <cell r="E26">
            <v>0.54999999999999993</v>
          </cell>
          <cell r="F26">
            <v>0.45000000000000007</v>
          </cell>
          <cell r="G26">
            <v>0</v>
          </cell>
          <cell r="H26">
            <v>0</v>
          </cell>
        </row>
        <row r="27">
          <cell r="B27">
            <v>24</v>
          </cell>
          <cell r="D27">
            <v>0</v>
          </cell>
          <cell r="E27">
            <v>0.44166666666666671</v>
          </cell>
          <cell r="F27">
            <v>0.55833333333333335</v>
          </cell>
          <cell r="G27">
            <v>0</v>
          </cell>
          <cell r="H27">
            <v>0</v>
          </cell>
        </row>
        <row r="28">
          <cell r="B28">
            <v>25</v>
          </cell>
          <cell r="D28">
            <v>0</v>
          </cell>
          <cell r="E28">
            <v>0.3833333333333333</v>
          </cell>
          <cell r="F28">
            <v>0.6166666666666667</v>
          </cell>
          <cell r="G28">
            <v>0</v>
          </cell>
          <cell r="H28">
            <v>0</v>
          </cell>
        </row>
        <row r="29">
          <cell r="B29">
            <v>26</v>
          </cell>
          <cell r="D29">
            <v>0</v>
          </cell>
          <cell r="E29">
            <v>0.42499999999999999</v>
          </cell>
          <cell r="F29">
            <v>0.57499999999999996</v>
          </cell>
          <cell r="G29">
            <v>0</v>
          </cell>
          <cell r="H29">
            <v>0</v>
          </cell>
        </row>
        <row r="30">
          <cell r="B30">
            <v>27</v>
          </cell>
          <cell r="D30">
            <v>0</v>
          </cell>
          <cell r="E30">
            <v>0.54999999999999993</v>
          </cell>
          <cell r="F30">
            <v>0.45000000000000007</v>
          </cell>
          <cell r="G30">
            <v>0</v>
          </cell>
          <cell r="H30">
            <v>0</v>
          </cell>
        </row>
        <row r="31">
          <cell r="B31">
            <v>28</v>
          </cell>
          <cell r="D31">
            <v>0</v>
          </cell>
          <cell r="E31">
            <v>0.57500000000000007</v>
          </cell>
          <cell r="F31">
            <v>0.42499999999999993</v>
          </cell>
          <cell r="G31">
            <v>0</v>
          </cell>
          <cell r="H31">
            <v>0</v>
          </cell>
        </row>
        <row r="32">
          <cell r="B32">
            <v>29</v>
          </cell>
          <cell r="D32">
            <v>0</v>
          </cell>
          <cell r="E32">
            <v>0.25</v>
          </cell>
          <cell r="F32">
            <v>0.75</v>
          </cell>
          <cell r="G32">
            <v>0</v>
          </cell>
          <cell r="H32">
            <v>0</v>
          </cell>
        </row>
        <row r="33">
          <cell r="B33">
            <v>30</v>
          </cell>
          <cell r="D33">
            <v>0</v>
          </cell>
          <cell r="E33">
            <v>0.29166666666666669</v>
          </cell>
          <cell r="F33">
            <v>0.70833333333333326</v>
          </cell>
          <cell r="G33">
            <v>0</v>
          </cell>
          <cell r="H33">
            <v>0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ATU"/>
      <sheetName val="Coal Blend"/>
      <sheetName val="Resume Coal Blend"/>
      <sheetName val="Estimasi NPHR"/>
      <sheetName val="UNIT 1"/>
      <sheetName val="UNIT 2"/>
      <sheetName val="UNIT 3"/>
      <sheetName val="COAL BLENDING MARET 2020"/>
      <sheetName val="INPUT DATA"/>
      <sheetName val="kWh Gross"/>
      <sheetName val="MaxMin"/>
    </sheetNames>
    <sheetDataSet>
      <sheetData sheetId="0"/>
      <sheetData sheetId="1">
        <row r="7">
          <cell r="BV7">
            <v>0.42499999999999999</v>
          </cell>
        </row>
        <row r="23">
          <cell r="BV23">
            <v>0.41666666666666669</v>
          </cell>
        </row>
        <row r="39">
          <cell r="BV39">
            <v>0.5083333333333333</v>
          </cell>
        </row>
        <row r="55">
          <cell r="BV55">
            <v>0.80833333333333324</v>
          </cell>
        </row>
        <row r="71">
          <cell r="BV71">
            <v>0.93333333333333324</v>
          </cell>
        </row>
        <row r="87">
          <cell r="BV87">
            <v>0.5</v>
          </cell>
        </row>
        <row r="103">
          <cell r="BV103">
            <v>0</v>
          </cell>
        </row>
        <row r="119">
          <cell r="BV119">
            <v>0.11666666666666665</v>
          </cell>
        </row>
        <row r="135">
          <cell r="BV135">
            <v>0</v>
          </cell>
        </row>
        <row r="151">
          <cell r="BV151">
            <v>0</v>
          </cell>
        </row>
        <row r="167">
          <cell r="BV167">
            <v>0</v>
          </cell>
        </row>
        <row r="183">
          <cell r="BV183">
            <v>0</v>
          </cell>
        </row>
        <row r="199">
          <cell r="BV199">
            <v>0</v>
          </cell>
        </row>
        <row r="215">
          <cell r="BV215">
            <v>0</v>
          </cell>
        </row>
        <row r="231">
          <cell r="BV231">
            <v>0</v>
          </cell>
        </row>
        <row r="247">
          <cell r="BV247">
            <v>0</v>
          </cell>
        </row>
        <row r="263">
          <cell r="BV263">
            <v>0</v>
          </cell>
        </row>
        <row r="279">
          <cell r="BV279">
            <v>0</v>
          </cell>
        </row>
        <row r="295">
          <cell r="BV295">
            <v>0</v>
          </cell>
        </row>
        <row r="311">
          <cell r="BV311">
            <v>0</v>
          </cell>
        </row>
        <row r="327">
          <cell r="BV327">
            <v>0</v>
          </cell>
        </row>
        <row r="343">
          <cell r="BV343">
            <v>0</v>
          </cell>
        </row>
        <row r="359">
          <cell r="BV359">
            <v>0</v>
          </cell>
        </row>
        <row r="375">
          <cell r="BV375">
            <v>0</v>
          </cell>
        </row>
        <row r="391">
          <cell r="BV391">
            <v>0</v>
          </cell>
        </row>
        <row r="407">
          <cell r="BV407">
            <v>0</v>
          </cell>
        </row>
        <row r="423">
          <cell r="BV423">
            <v>0</v>
          </cell>
        </row>
        <row r="439">
          <cell r="BV439">
            <v>0</v>
          </cell>
        </row>
        <row r="455">
          <cell r="BV455">
            <v>0</v>
          </cell>
        </row>
        <row r="471">
          <cell r="BV471">
            <v>0</v>
          </cell>
        </row>
      </sheetData>
      <sheetData sheetId="2"/>
      <sheetData sheetId="3">
        <row r="4">
          <cell r="C4">
            <v>4231.5936325278099</v>
          </cell>
          <cell r="D4">
            <v>0</v>
          </cell>
        </row>
        <row r="5">
          <cell r="C5">
            <v>4203.2947040846748</v>
          </cell>
          <cell r="D5">
            <v>0</v>
          </cell>
        </row>
        <row r="6">
          <cell r="C6">
            <v>4347.3628304512031</v>
          </cell>
          <cell r="D6">
            <v>0</v>
          </cell>
        </row>
        <row r="7">
          <cell r="C7">
            <v>4420.5932323232328</v>
          </cell>
          <cell r="D7">
            <v>0</v>
          </cell>
        </row>
        <row r="8">
          <cell r="C8">
            <v>4433.5214145658265</v>
          </cell>
          <cell r="D8">
            <v>0</v>
          </cell>
        </row>
        <row r="9">
          <cell r="C9">
            <v>4437</v>
          </cell>
          <cell r="D9">
            <v>0</v>
          </cell>
        </row>
        <row r="10">
          <cell r="C10" t="str">
            <v>0</v>
          </cell>
          <cell r="D10">
            <v>0</v>
          </cell>
        </row>
        <row r="11">
          <cell r="C11">
            <v>3897.9</v>
          </cell>
          <cell r="D11">
            <v>0</v>
          </cell>
        </row>
        <row r="12">
          <cell r="C12" t="str">
            <v>0</v>
          </cell>
          <cell r="D12">
            <v>0</v>
          </cell>
        </row>
        <row r="13">
          <cell r="C13" t="str">
            <v>0</v>
          </cell>
          <cell r="D13">
            <v>0</v>
          </cell>
        </row>
        <row r="14">
          <cell r="C14" t="str">
            <v>0</v>
          </cell>
          <cell r="D14">
            <v>0</v>
          </cell>
        </row>
        <row r="15">
          <cell r="C15" t="str">
            <v>0</v>
          </cell>
          <cell r="D15">
            <v>0</v>
          </cell>
        </row>
        <row r="16">
          <cell r="C16" t="str">
            <v>0</v>
          </cell>
          <cell r="D16">
            <v>0</v>
          </cell>
        </row>
        <row r="17">
          <cell r="C17" t="str">
            <v>0</v>
          </cell>
          <cell r="D17">
            <v>0</v>
          </cell>
        </row>
        <row r="18">
          <cell r="C18" t="str">
            <v>0</v>
          </cell>
          <cell r="D18">
            <v>0</v>
          </cell>
        </row>
        <row r="19">
          <cell r="C19" t="str">
            <v>0</v>
          </cell>
          <cell r="D19">
            <v>0</v>
          </cell>
        </row>
        <row r="20">
          <cell r="C20" t="str">
            <v>0</v>
          </cell>
          <cell r="D20">
            <v>0</v>
          </cell>
        </row>
        <row r="21">
          <cell r="C21" t="str">
            <v>0</v>
          </cell>
          <cell r="D21">
            <v>0</v>
          </cell>
        </row>
        <row r="22">
          <cell r="C22" t="str">
            <v>0</v>
          </cell>
          <cell r="D22">
            <v>0</v>
          </cell>
        </row>
        <row r="23">
          <cell r="C23" t="str">
            <v>0</v>
          </cell>
          <cell r="D23">
            <v>0</v>
          </cell>
        </row>
        <row r="24">
          <cell r="C24" t="str">
            <v>0</v>
          </cell>
          <cell r="D24">
            <v>0</v>
          </cell>
        </row>
        <row r="25">
          <cell r="C25" t="str">
            <v>0</v>
          </cell>
          <cell r="D25">
            <v>0</v>
          </cell>
        </row>
        <row r="26">
          <cell r="C26" t="str">
            <v>0</v>
          </cell>
          <cell r="D26">
            <v>0</v>
          </cell>
        </row>
        <row r="27">
          <cell r="C27" t="str">
            <v>0</v>
          </cell>
          <cell r="D27">
            <v>0</v>
          </cell>
        </row>
        <row r="28">
          <cell r="C28" t="str">
            <v>0</v>
          </cell>
          <cell r="D28">
            <v>0</v>
          </cell>
        </row>
        <row r="29">
          <cell r="C29" t="str">
            <v>0</v>
          </cell>
          <cell r="D29">
            <v>0</v>
          </cell>
        </row>
        <row r="30">
          <cell r="C30" t="str">
            <v>0</v>
          </cell>
          <cell r="D30">
            <v>0</v>
          </cell>
        </row>
        <row r="31">
          <cell r="C31" t="str">
            <v>0</v>
          </cell>
          <cell r="D31">
            <v>0</v>
          </cell>
        </row>
        <row r="32">
          <cell r="C32" t="str">
            <v>0</v>
          </cell>
          <cell r="D32">
            <v>0</v>
          </cell>
        </row>
        <row r="33">
          <cell r="C33" t="str">
            <v>0</v>
          </cell>
          <cell r="D33">
            <v>0</v>
          </cell>
        </row>
      </sheetData>
      <sheetData sheetId="4">
        <row r="4">
          <cell r="B4">
            <v>1</v>
          </cell>
          <cell r="D4">
            <v>0</v>
          </cell>
          <cell r="E4">
            <v>0.42499999999999999</v>
          </cell>
          <cell r="F4">
            <v>0.57499999999999996</v>
          </cell>
          <cell r="G4">
            <v>0</v>
          </cell>
          <cell r="H4">
            <v>0</v>
          </cell>
        </row>
        <row r="5">
          <cell r="B5">
            <v>2</v>
          </cell>
          <cell r="D5">
            <v>0</v>
          </cell>
          <cell r="E5">
            <v>0.41666666666666669</v>
          </cell>
          <cell r="F5">
            <v>0.58333333333333326</v>
          </cell>
          <cell r="G5">
            <v>0</v>
          </cell>
          <cell r="H5">
            <v>0</v>
          </cell>
        </row>
        <row r="6">
          <cell r="B6">
            <v>3</v>
          </cell>
          <cell r="D6">
            <v>0</v>
          </cell>
          <cell r="E6">
            <v>0.5083333333333333</v>
          </cell>
          <cell r="F6">
            <v>0.4916666666666667</v>
          </cell>
          <cell r="G6">
            <v>0</v>
          </cell>
          <cell r="H6">
            <v>0</v>
          </cell>
        </row>
        <row r="7">
          <cell r="B7">
            <v>4</v>
          </cell>
          <cell r="D7">
            <v>0</v>
          </cell>
          <cell r="E7">
            <v>0.80833333333333324</v>
          </cell>
          <cell r="F7">
            <v>0.19166666666666676</v>
          </cell>
          <cell r="G7">
            <v>0</v>
          </cell>
          <cell r="H7">
            <v>0</v>
          </cell>
        </row>
        <row r="8">
          <cell r="B8">
            <v>5</v>
          </cell>
          <cell r="D8">
            <v>0</v>
          </cell>
          <cell r="E8">
            <v>0.93333333333333324</v>
          </cell>
          <cell r="F8">
            <v>6.6666666666666763E-2</v>
          </cell>
          <cell r="G8">
            <v>0</v>
          </cell>
          <cell r="H8">
            <v>0</v>
          </cell>
        </row>
        <row r="9">
          <cell r="B9">
            <v>6</v>
          </cell>
          <cell r="D9">
            <v>0</v>
          </cell>
          <cell r="E9">
            <v>0.5</v>
          </cell>
          <cell r="F9">
            <v>0.5</v>
          </cell>
          <cell r="G9">
            <v>0</v>
          </cell>
          <cell r="H9">
            <v>0</v>
          </cell>
        </row>
        <row r="10">
          <cell r="B10">
            <v>7</v>
          </cell>
          <cell r="D10">
            <v>0</v>
          </cell>
          <cell r="E10">
            <v>0</v>
          </cell>
          <cell r="F10">
            <v>1</v>
          </cell>
          <cell r="G10">
            <v>0</v>
          </cell>
          <cell r="H10">
            <v>0</v>
          </cell>
        </row>
        <row r="11">
          <cell r="B11">
            <v>8</v>
          </cell>
          <cell r="D11">
            <v>0</v>
          </cell>
          <cell r="E11">
            <v>0.11666666666666665</v>
          </cell>
          <cell r="F11">
            <v>0.8833333333333333</v>
          </cell>
          <cell r="G11">
            <v>0</v>
          </cell>
          <cell r="H11">
            <v>0</v>
          </cell>
        </row>
        <row r="12">
          <cell r="B12">
            <v>9</v>
          </cell>
          <cell r="D12">
            <v>0</v>
          </cell>
          <cell r="E12">
            <v>0</v>
          </cell>
          <cell r="F12">
            <v>1</v>
          </cell>
          <cell r="G12">
            <v>0</v>
          </cell>
          <cell r="H12">
            <v>0</v>
          </cell>
        </row>
        <row r="13">
          <cell r="B13">
            <v>10</v>
          </cell>
          <cell r="D13">
            <v>0</v>
          </cell>
          <cell r="E13">
            <v>0</v>
          </cell>
          <cell r="F13">
            <v>1</v>
          </cell>
          <cell r="G13">
            <v>0</v>
          </cell>
          <cell r="H13">
            <v>0</v>
          </cell>
        </row>
        <row r="14">
          <cell r="B14">
            <v>11</v>
          </cell>
          <cell r="D14">
            <v>0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</row>
        <row r="15">
          <cell r="B15">
            <v>12</v>
          </cell>
          <cell r="D15">
            <v>0</v>
          </cell>
          <cell r="E15">
            <v>0</v>
          </cell>
          <cell r="F15">
            <v>1</v>
          </cell>
          <cell r="G15">
            <v>0</v>
          </cell>
          <cell r="H15">
            <v>0</v>
          </cell>
        </row>
        <row r="16">
          <cell r="B16">
            <v>13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</row>
        <row r="17">
          <cell r="B17">
            <v>14</v>
          </cell>
          <cell r="D17">
            <v>0</v>
          </cell>
          <cell r="E17">
            <v>0</v>
          </cell>
          <cell r="F17">
            <v>1</v>
          </cell>
          <cell r="G17">
            <v>0</v>
          </cell>
          <cell r="H17">
            <v>0</v>
          </cell>
        </row>
        <row r="18">
          <cell r="B18">
            <v>15</v>
          </cell>
          <cell r="D18">
            <v>0</v>
          </cell>
          <cell r="E18">
            <v>0</v>
          </cell>
          <cell r="F18">
            <v>1</v>
          </cell>
          <cell r="G18">
            <v>0</v>
          </cell>
          <cell r="H18">
            <v>0</v>
          </cell>
        </row>
        <row r="19">
          <cell r="B19">
            <v>16</v>
          </cell>
          <cell r="D19">
            <v>0</v>
          </cell>
          <cell r="E19">
            <v>0</v>
          </cell>
          <cell r="F19">
            <v>1</v>
          </cell>
          <cell r="G19">
            <v>0</v>
          </cell>
          <cell r="H19">
            <v>0</v>
          </cell>
        </row>
        <row r="20">
          <cell r="B20">
            <v>17</v>
          </cell>
          <cell r="D20">
            <v>0</v>
          </cell>
          <cell r="E20">
            <v>0</v>
          </cell>
          <cell r="F20">
            <v>1</v>
          </cell>
          <cell r="G20">
            <v>0</v>
          </cell>
          <cell r="H20">
            <v>0</v>
          </cell>
        </row>
        <row r="21">
          <cell r="B21">
            <v>18</v>
          </cell>
          <cell r="D21">
            <v>0</v>
          </cell>
          <cell r="E21">
            <v>0</v>
          </cell>
          <cell r="F21">
            <v>1</v>
          </cell>
          <cell r="G21">
            <v>0</v>
          </cell>
          <cell r="H21">
            <v>0</v>
          </cell>
        </row>
        <row r="22">
          <cell r="B22">
            <v>19</v>
          </cell>
          <cell r="D22">
            <v>0</v>
          </cell>
          <cell r="E22">
            <v>0</v>
          </cell>
          <cell r="F22">
            <v>1</v>
          </cell>
          <cell r="G22">
            <v>0</v>
          </cell>
          <cell r="H22">
            <v>0</v>
          </cell>
        </row>
        <row r="23">
          <cell r="B23">
            <v>20</v>
          </cell>
          <cell r="D23">
            <v>0</v>
          </cell>
          <cell r="E23">
            <v>0</v>
          </cell>
          <cell r="F23">
            <v>1</v>
          </cell>
          <cell r="G23">
            <v>0</v>
          </cell>
          <cell r="H23">
            <v>0</v>
          </cell>
        </row>
        <row r="24">
          <cell r="B24">
            <v>21</v>
          </cell>
          <cell r="D24">
            <v>0</v>
          </cell>
          <cell r="E24">
            <v>0</v>
          </cell>
          <cell r="F24">
            <v>1</v>
          </cell>
          <cell r="G24">
            <v>0</v>
          </cell>
          <cell r="H24">
            <v>0</v>
          </cell>
        </row>
        <row r="25">
          <cell r="B25">
            <v>22</v>
          </cell>
          <cell r="D25">
            <v>0</v>
          </cell>
          <cell r="E25">
            <v>0</v>
          </cell>
          <cell r="F25">
            <v>1</v>
          </cell>
          <cell r="G25">
            <v>0</v>
          </cell>
          <cell r="H25">
            <v>0</v>
          </cell>
        </row>
        <row r="26">
          <cell r="B26">
            <v>23</v>
          </cell>
          <cell r="D26">
            <v>0</v>
          </cell>
          <cell r="E26">
            <v>0</v>
          </cell>
          <cell r="F26">
            <v>1</v>
          </cell>
          <cell r="G26">
            <v>0</v>
          </cell>
          <cell r="H26">
            <v>0</v>
          </cell>
        </row>
        <row r="27">
          <cell r="B27">
            <v>24</v>
          </cell>
          <cell r="D27">
            <v>0</v>
          </cell>
          <cell r="E27">
            <v>0</v>
          </cell>
          <cell r="F27">
            <v>1</v>
          </cell>
          <cell r="G27">
            <v>0</v>
          </cell>
          <cell r="H27">
            <v>0</v>
          </cell>
        </row>
        <row r="28">
          <cell r="B28">
            <v>25</v>
          </cell>
          <cell r="D28">
            <v>0</v>
          </cell>
          <cell r="E28">
            <v>0</v>
          </cell>
          <cell r="F28">
            <v>1</v>
          </cell>
          <cell r="G28">
            <v>0</v>
          </cell>
          <cell r="H28">
            <v>0</v>
          </cell>
        </row>
        <row r="29">
          <cell r="B29">
            <v>26</v>
          </cell>
          <cell r="D29">
            <v>0</v>
          </cell>
          <cell r="E29">
            <v>0</v>
          </cell>
          <cell r="F29">
            <v>1</v>
          </cell>
          <cell r="G29">
            <v>0</v>
          </cell>
          <cell r="H29">
            <v>0</v>
          </cell>
        </row>
        <row r="30">
          <cell r="B30">
            <v>27</v>
          </cell>
          <cell r="D30">
            <v>0</v>
          </cell>
          <cell r="E30">
            <v>0</v>
          </cell>
          <cell r="F30">
            <v>1</v>
          </cell>
          <cell r="G30">
            <v>0</v>
          </cell>
          <cell r="H30">
            <v>0</v>
          </cell>
        </row>
        <row r="31">
          <cell r="B31">
            <v>28</v>
          </cell>
          <cell r="D31">
            <v>0</v>
          </cell>
          <cell r="E31">
            <v>0</v>
          </cell>
          <cell r="F31">
            <v>1</v>
          </cell>
          <cell r="G31">
            <v>0</v>
          </cell>
          <cell r="H31">
            <v>0</v>
          </cell>
        </row>
        <row r="32">
          <cell r="B32">
            <v>29</v>
          </cell>
          <cell r="D32">
            <v>0</v>
          </cell>
          <cell r="E32">
            <v>0</v>
          </cell>
          <cell r="F32">
            <v>1</v>
          </cell>
          <cell r="G32">
            <v>0</v>
          </cell>
          <cell r="H32">
            <v>0</v>
          </cell>
        </row>
        <row r="33">
          <cell r="B33">
            <v>30</v>
          </cell>
          <cell r="D33">
            <v>0</v>
          </cell>
          <cell r="E33">
            <v>0</v>
          </cell>
          <cell r="F33">
            <v>1</v>
          </cell>
          <cell r="G33">
            <v>0</v>
          </cell>
          <cell r="H33">
            <v>0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ATU"/>
      <sheetName val="Coal Blend"/>
      <sheetName val="Resume Coal Blend"/>
      <sheetName val="Estimasi NPHR"/>
      <sheetName val="UNIT 1"/>
      <sheetName val="UNIT 2"/>
      <sheetName val="UNIT 3"/>
      <sheetName val="COAL BLENDING MARET 2020"/>
      <sheetName val="INPUT DATA"/>
      <sheetName val="kWh Gross"/>
      <sheetName val="MaxMin"/>
    </sheetNames>
    <sheetDataSet>
      <sheetData sheetId="0"/>
      <sheetData sheetId="1">
        <row r="7">
          <cell r="BV7">
            <v>0</v>
          </cell>
        </row>
        <row r="23">
          <cell r="BV23">
            <v>0</v>
          </cell>
        </row>
        <row r="39">
          <cell r="BV39">
            <v>0</v>
          </cell>
        </row>
        <row r="55">
          <cell r="BV55">
            <v>0</v>
          </cell>
        </row>
        <row r="71">
          <cell r="BV71">
            <v>0</v>
          </cell>
        </row>
        <row r="87">
          <cell r="BV87">
            <v>0</v>
          </cell>
        </row>
        <row r="103">
          <cell r="BV103">
            <v>0</v>
          </cell>
        </row>
        <row r="119">
          <cell r="BV119">
            <v>0</v>
          </cell>
        </row>
        <row r="135">
          <cell r="BV135">
            <v>0</v>
          </cell>
        </row>
        <row r="151">
          <cell r="BV151">
            <v>0</v>
          </cell>
        </row>
        <row r="167">
          <cell r="BV167">
            <v>0</v>
          </cell>
        </row>
        <row r="183">
          <cell r="BV183">
            <v>0</v>
          </cell>
        </row>
        <row r="199">
          <cell r="BV199">
            <v>0</v>
          </cell>
        </row>
        <row r="215">
          <cell r="BV215">
            <v>0</v>
          </cell>
        </row>
        <row r="231">
          <cell r="BV231">
            <v>0.6</v>
          </cell>
        </row>
        <row r="247">
          <cell r="BV247">
            <v>0.51666666666666672</v>
          </cell>
        </row>
        <row r="263">
          <cell r="BV263">
            <v>0.27499999999999997</v>
          </cell>
        </row>
        <row r="279">
          <cell r="BV279">
            <v>0.3666666666666667</v>
          </cell>
        </row>
        <row r="295">
          <cell r="BV295">
            <v>0.47499999999999992</v>
          </cell>
        </row>
        <row r="311">
          <cell r="BV311">
            <v>0.35000000000000003</v>
          </cell>
        </row>
        <row r="327">
          <cell r="BV327">
            <v>0.33333333333333331</v>
          </cell>
        </row>
        <row r="343">
          <cell r="BV343">
            <v>0.93333333333333324</v>
          </cell>
        </row>
        <row r="359">
          <cell r="BV359">
            <v>0.56666666666666676</v>
          </cell>
        </row>
        <row r="375">
          <cell r="BV375">
            <v>1</v>
          </cell>
        </row>
        <row r="391">
          <cell r="BV391">
            <v>0.33333333333333331</v>
          </cell>
        </row>
        <row r="407">
          <cell r="BV407">
            <v>0.28333333333333338</v>
          </cell>
        </row>
        <row r="423">
          <cell r="BV423">
            <v>0</v>
          </cell>
        </row>
        <row r="439">
          <cell r="BV439">
            <v>0</v>
          </cell>
        </row>
        <row r="455">
          <cell r="BV455">
            <v>0.16666666666666666</v>
          </cell>
        </row>
        <row r="471">
          <cell r="BV471">
            <v>0.51666666666666672</v>
          </cell>
        </row>
      </sheetData>
      <sheetData sheetId="2"/>
      <sheetData sheetId="3">
        <row r="4">
          <cell r="C4" t="str">
            <v>0</v>
          </cell>
          <cell r="D4">
            <v>0</v>
          </cell>
        </row>
        <row r="5">
          <cell r="C5" t="str">
            <v>0</v>
          </cell>
          <cell r="D5">
            <v>0</v>
          </cell>
        </row>
        <row r="6">
          <cell r="C6" t="str">
            <v>0</v>
          </cell>
          <cell r="D6">
            <v>0</v>
          </cell>
        </row>
        <row r="7">
          <cell r="C7" t="str">
            <v>0</v>
          </cell>
          <cell r="D7">
            <v>0</v>
          </cell>
        </row>
        <row r="8">
          <cell r="C8" t="str">
            <v>0</v>
          </cell>
          <cell r="D8">
            <v>0</v>
          </cell>
        </row>
        <row r="9">
          <cell r="C9" t="str">
            <v>0</v>
          </cell>
          <cell r="D9">
            <v>0</v>
          </cell>
        </row>
        <row r="10">
          <cell r="C10" t="str">
            <v>0</v>
          </cell>
          <cell r="D10">
            <v>0</v>
          </cell>
        </row>
        <row r="11">
          <cell r="C11" t="str">
            <v>0</v>
          </cell>
          <cell r="D11">
            <v>0</v>
          </cell>
        </row>
        <row r="12">
          <cell r="C12" t="str">
            <v>0</v>
          </cell>
          <cell r="D12">
            <v>0</v>
          </cell>
        </row>
        <row r="13">
          <cell r="C13" t="str">
            <v>0</v>
          </cell>
          <cell r="D13">
            <v>0</v>
          </cell>
        </row>
        <row r="14">
          <cell r="C14" t="str">
            <v>0</v>
          </cell>
          <cell r="D14">
            <v>0</v>
          </cell>
        </row>
        <row r="15">
          <cell r="C15" t="str">
            <v>0</v>
          </cell>
          <cell r="D15">
            <v>0</v>
          </cell>
        </row>
        <row r="16">
          <cell r="C16" t="str">
            <v>0</v>
          </cell>
          <cell r="D16">
            <v>0</v>
          </cell>
        </row>
        <row r="17">
          <cell r="C17" t="str">
            <v>0</v>
          </cell>
          <cell r="D17">
            <v>0</v>
          </cell>
        </row>
        <row r="18">
          <cell r="C18">
            <v>4302.7517822520504</v>
          </cell>
          <cell r="D18">
            <v>0</v>
          </cell>
        </row>
        <row r="19">
          <cell r="C19">
            <v>4193.4493986538682</v>
          </cell>
          <cell r="D19">
            <v>0</v>
          </cell>
        </row>
        <row r="20">
          <cell r="C20">
            <v>4099.1767461622803</v>
          </cell>
          <cell r="D20">
            <v>0</v>
          </cell>
        </row>
        <row r="21">
          <cell r="C21">
            <v>4244.057788469735</v>
          </cell>
          <cell r="D21">
            <v>0</v>
          </cell>
        </row>
        <row r="22">
          <cell r="C22">
            <v>4207.9477429590015</v>
          </cell>
          <cell r="D22">
            <v>0</v>
          </cell>
        </row>
        <row r="23">
          <cell r="C23">
            <v>4167.2746625258796</v>
          </cell>
          <cell r="D23">
            <v>0</v>
          </cell>
        </row>
        <row r="24">
          <cell r="C24">
            <v>3620.5341955279014</v>
          </cell>
          <cell r="D24">
            <v>0</v>
          </cell>
        </row>
        <row r="25">
          <cell r="C25">
            <v>4317.4444444444443</v>
          </cell>
          <cell r="D25">
            <v>0</v>
          </cell>
        </row>
        <row r="26">
          <cell r="C26">
            <v>4186.7073517786566</v>
          </cell>
          <cell r="D26">
            <v>0</v>
          </cell>
        </row>
        <row r="27">
          <cell r="C27">
            <v>4378.3243309887621</v>
          </cell>
          <cell r="D27">
            <v>0</v>
          </cell>
        </row>
        <row r="28">
          <cell r="C28">
            <v>4171.4186357640856</v>
          </cell>
          <cell r="D28">
            <v>0</v>
          </cell>
        </row>
        <row r="29">
          <cell r="C29">
            <v>4040.9032991376748</v>
          </cell>
          <cell r="D29">
            <v>0</v>
          </cell>
        </row>
        <row r="30">
          <cell r="C30">
            <v>3892.5505494505496</v>
          </cell>
          <cell r="D30">
            <v>0</v>
          </cell>
        </row>
        <row r="31">
          <cell r="C31">
            <v>3666.4839420289859</v>
          </cell>
          <cell r="D31">
            <v>0</v>
          </cell>
        </row>
        <row r="32">
          <cell r="C32">
            <v>4126.583333333333</v>
          </cell>
          <cell r="D32">
            <v>0</v>
          </cell>
        </row>
        <row r="33">
          <cell r="C33">
            <v>4221.0781893004123</v>
          </cell>
          <cell r="D33">
            <v>0</v>
          </cell>
        </row>
      </sheetData>
      <sheetData sheetId="4">
        <row r="4">
          <cell r="B4">
            <v>1</v>
          </cell>
          <cell r="D4">
            <v>0</v>
          </cell>
          <cell r="E4">
            <v>0</v>
          </cell>
          <cell r="F4">
            <v>1</v>
          </cell>
          <cell r="G4">
            <v>0</v>
          </cell>
          <cell r="H4">
            <v>0</v>
          </cell>
        </row>
        <row r="5">
          <cell r="B5">
            <v>2</v>
          </cell>
          <cell r="D5">
            <v>0</v>
          </cell>
          <cell r="E5">
            <v>0</v>
          </cell>
          <cell r="F5">
            <v>1</v>
          </cell>
          <cell r="G5">
            <v>0</v>
          </cell>
          <cell r="H5">
            <v>0</v>
          </cell>
        </row>
        <row r="6">
          <cell r="B6">
            <v>3</v>
          </cell>
          <cell r="D6">
            <v>0</v>
          </cell>
          <cell r="E6">
            <v>0</v>
          </cell>
          <cell r="F6">
            <v>1</v>
          </cell>
          <cell r="G6">
            <v>0</v>
          </cell>
          <cell r="H6">
            <v>0</v>
          </cell>
        </row>
        <row r="7">
          <cell r="B7">
            <v>4</v>
          </cell>
          <cell r="D7">
            <v>0</v>
          </cell>
          <cell r="E7">
            <v>0</v>
          </cell>
          <cell r="F7">
            <v>1</v>
          </cell>
          <cell r="G7">
            <v>0</v>
          </cell>
          <cell r="H7">
            <v>0</v>
          </cell>
        </row>
        <row r="8">
          <cell r="B8">
            <v>5</v>
          </cell>
          <cell r="D8">
            <v>0</v>
          </cell>
          <cell r="E8">
            <v>0</v>
          </cell>
          <cell r="F8">
            <v>1</v>
          </cell>
          <cell r="G8">
            <v>0</v>
          </cell>
          <cell r="H8">
            <v>0</v>
          </cell>
        </row>
        <row r="9">
          <cell r="B9">
            <v>6</v>
          </cell>
          <cell r="D9">
            <v>0</v>
          </cell>
          <cell r="E9">
            <v>0</v>
          </cell>
          <cell r="F9">
            <v>1</v>
          </cell>
          <cell r="G9">
            <v>0</v>
          </cell>
          <cell r="H9">
            <v>0</v>
          </cell>
        </row>
        <row r="10">
          <cell r="B10">
            <v>7</v>
          </cell>
          <cell r="D10">
            <v>0</v>
          </cell>
          <cell r="E10">
            <v>0</v>
          </cell>
          <cell r="F10">
            <v>1</v>
          </cell>
          <cell r="G10">
            <v>0</v>
          </cell>
          <cell r="H10">
            <v>0</v>
          </cell>
        </row>
        <row r="11">
          <cell r="B11">
            <v>8</v>
          </cell>
          <cell r="D11">
            <v>0</v>
          </cell>
          <cell r="E11">
            <v>0</v>
          </cell>
          <cell r="F11">
            <v>1</v>
          </cell>
          <cell r="G11">
            <v>0</v>
          </cell>
          <cell r="H11">
            <v>0</v>
          </cell>
        </row>
        <row r="12">
          <cell r="B12">
            <v>9</v>
          </cell>
          <cell r="D12">
            <v>0</v>
          </cell>
          <cell r="E12">
            <v>0</v>
          </cell>
          <cell r="F12">
            <v>1</v>
          </cell>
          <cell r="G12">
            <v>0</v>
          </cell>
          <cell r="H12">
            <v>0</v>
          </cell>
        </row>
        <row r="13">
          <cell r="B13">
            <v>10</v>
          </cell>
          <cell r="D13">
            <v>0</v>
          </cell>
          <cell r="E13">
            <v>0</v>
          </cell>
          <cell r="F13">
            <v>1</v>
          </cell>
          <cell r="G13">
            <v>0</v>
          </cell>
          <cell r="H13">
            <v>0</v>
          </cell>
        </row>
        <row r="14">
          <cell r="B14">
            <v>11</v>
          </cell>
          <cell r="D14">
            <v>0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</row>
        <row r="15">
          <cell r="B15">
            <v>12</v>
          </cell>
          <cell r="D15">
            <v>0</v>
          </cell>
          <cell r="E15">
            <v>0</v>
          </cell>
          <cell r="F15">
            <v>1</v>
          </cell>
          <cell r="G15">
            <v>0</v>
          </cell>
          <cell r="H15">
            <v>0</v>
          </cell>
        </row>
        <row r="16">
          <cell r="B16">
            <v>13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</row>
        <row r="17">
          <cell r="B17">
            <v>14</v>
          </cell>
          <cell r="D17">
            <v>0</v>
          </cell>
          <cell r="E17">
            <v>0</v>
          </cell>
          <cell r="F17">
            <v>1</v>
          </cell>
          <cell r="G17">
            <v>0</v>
          </cell>
          <cell r="H17">
            <v>0</v>
          </cell>
        </row>
        <row r="18">
          <cell r="B18">
            <v>15</v>
          </cell>
          <cell r="D18">
            <v>0</v>
          </cell>
          <cell r="E18">
            <v>0.6</v>
          </cell>
          <cell r="F18">
            <v>0.4</v>
          </cell>
          <cell r="G18">
            <v>0</v>
          </cell>
          <cell r="H18">
            <v>0</v>
          </cell>
        </row>
        <row r="19">
          <cell r="B19">
            <v>16</v>
          </cell>
          <cell r="D19">
            <v>0</v>
          </cell>
          <cell r="E19">
            <v>0.51666666666666672</v>
          </cell>
          <cell r="F19">
            <v>0.48333333333333328</v>
          </cell>
          <cell r="G19">
            <v>0</v>
          </cell>
          <cell r="H19">
            <v>0</v>
          </cell>
        </row>
        <row r="20">
          <cell r="B20">
            <v>17</v>
          </cell>
          <cell r="D20">
            <v>0</v>
          </cell>
          <cell r="E20">
            <v>0.27499999999999997</v>
          </cell>
          <cell r="F20">
            <v>0.72500000000000009</v>
          </cell>
          <cell r="G20">
            <v>0</v>
          </cell>
          <cell r="H20">
            <v>0</v>
          </cell>
        </row>
        <row r="21">
          <cell r="B21">
            <v>18</v>
          </cell>
          <cell r="D21">
            <v>0</v>
          </cell>
          <cell r="E21">
            <v>0.3666666666666667</v>
          </cell>
          <cell r="F21">
            <v>0.6333333333333333</v>
          </cell>
          <cell r="G21">
            <v>0</v>
          </cell>
          <cell r="H21">
            <v>0</v>
          </cell>
        </row>
        <row r="22">
          <cell r="B22">
            <v>19</v>
          </cell>
          <cell r="D22">
            <v>0</v>
          </cell>
          <cell r="E22">
            <v>0.47499999999999992</v>
          </cell>
          <cell r="F22">
            <v>0.52500000000000013</v>
          </cell>
          <cell r="G22">
            <v>0</v>
          </cell>
          <cell r="H22">
            <v>0</v>
          </cell>
        </row>
        <row r="23">
          <cell r="B23">
            <v>20</v>
          </cell>
          <cell r="D23">
            <v>0</v>
          </cell>
          <cell r="E23">
            <v>0.35000000000000003</v>
          </cell>
          <cell r="F23">
            <v>0.64999999999999991</v>
          </cell>
          <cell r="G23">
            <v>0</v>
          </cell>
          <cell r="H23">
            <v>0</v>
          </cell>
        </row>
        <row r="24">
          <cell r="B24">
            <v>21</v>
          </cell>
          <cell r="D24">
            <v>0</v>
          </cell>
          <cell r="E24">
            <v>0.33333333333333331</v>
          </cell>
          <cell r="F24">
            <v>0.66666666666666674</v>
          </cell>
          <cell r="G24">
            <v>0</v>
          </cell>
          <cell r="H24">
            <v>0</v>
          </cell>
        </row>
        <row r="25">
          <cell r="B25">
            <v>22</v>
          </cell>
          <cell r="D25">
            <v>0</v>
          </cell>
          <cell r="E25">
            <v>0.93333333333333324</v>
          </cell>
          <cell r="F25">
            <v>6.6666666666666763E-2</v>
          </cell>
          <cell r="G25">
            <v>0</v>
          </cell>
          <cell r="H25">
            <v>0</v>
          </cell>
        </row>
        <row r="26">
          <cell r="B26">
            <v>23</v>
          </cell>
          <cell r="D26">
            <v>0</v>
          </cell>
          <cell r="E26">
            <v>0.56666666666666676</v>
          </cell>
          <cell r="F26">
            <v>0.43333333333333324</v>
          </cell>
          <cell r="G26">
            <v>0</v>
          </cell>
          <cell r="H26">
            <v>0</v>
          </cell>
        </row>
        <row r="27">
          <cell r="B27">
            <v>24</v>
          </cell>
          <cell r="D27">
            <v>0</v>
          </cell>
          <cell r="E27">
            <v>1</v>
          </cell>
          <cell r="F27">
            <v>0</v>
          </cell>
          <cell r="G27">
            <v>0</v>
          </cell>
          <cell r="H27">
            <v>0</v>
          </cell>
        </row>
        <row r="28">
          <cell r="B28">
            <v>25</v>
          </cell>
          <cell r="D28">
            <v>0</v>
          </cell>
          <cell r="E28">
            <v>0.33333333333333331</v>
          </cell>
          <cell r="F28">
            <v>0.66666666666666674</v>
          </cell>
          <cell r="G28">
            <v>0</v>
          </cell>
          <cell r="H28">
            <v>0</v>
          </cell>
        </row>
        <row r="29">
          <cell r="B29">
            <v>26</v>
          </cell>
          <cell r="D29">
            <v>0</v>
          </cell>
          <cell r="E29">
            <v>0.28333333333333338</v>
          </cell>
          <cell r="F29">
            <v>0.71666666666666656</v>
          </cell>
          <cell r="G29">
            <v>0</v>
          </cell>
          <cell r="H29">
            <v>0</v>
          </cell>
        </row>
        <row r="30">
          <cell r="B30">
            <v>27</v>
          </cell>
          <cell r="D30">
            <v>0</v>
          </cell>
          <cell r="E30">
            <v>0</v>
          </cell>
          <cell r="F30">
            <v>1</v>
          </cell>
          <cell r="G30">
            <v>0</v>
          </cell>
          <cell r="H30">
            <v>0</v>
          </cell>
        </row>
        <row r="31">
          <cell r="B31">
            <v>28</v>
          </cell>
          <cell r="D31">
            <v>0</v>
          </cell>
          <cell r="E31">
            <v>0</v>
          </cell>
          <cell r="F31">
            <v>1</v>
          </cell>
          <cell r="G31">
            <v>0</v>
          </cell>
          <cell r="H31">
            <v>0</v>
          </cell>
        </row>
        <row r="32">
          <cell r="B32">
            <v>29</v>
          </cell>
          <cell r="D32">
            <v>0</v>
          </cell>
          <cell r="E32">
            <v>0.16666666666666666</v>
          </cell>
          <cell r="F32">
            <v>0.83333333333333337</v>
          </cell>
          <cell r="G32">
            <v>0</v>
          </cell>
          <cell r="H32">
            <v>0</v>
          </cell>
        </row>
        <row r="33">
          <cell r="B33">
            <v>30</v>
          </cell>
          <cell r="D33">
            <v>0</v>
          </cell>
          <cell r="E33">
            <v>0.51666666666666672</v>
          </cell>
          <cell r="F33">
            <v>0.48333333333333328</v>
          </cell>
          <cell r="G33">
            <v>0</v>
          </cell>
          <cell r="H33">
            <v>0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ATU"/>
      <sheetName val="Coal Blend"/>
      <sheetName val="Resume Coal Blend"/>
      <sheetName val="Estimasi NPHR"/>
      <sheetName val="UNIT 1"/>
      <sheetName val="UNIT 2"/>
      <sheetName val="UNIT 3"/>
      <sheetName val="COAL BLENDING MARET 2020"/>
      <sheetName val="INPUT DATA"/>
      <sheetName val="kWh Gross"/>
      <sheetName val="MaxMin"/>
    </sheetNames>
    <sheetDataSet>
      <sheetData sheetId="0"/>
      <sheetData sheetId="1">
        <row r="7">
          <cell r="BV7">
            <v>0.60833333333333328</v>
          </cell>
        </row>
        <row r="23">
          <cell r="BV23">
            <v>0.3</v>
          </cell>
        </row>
        <row r="39">
          <cell r="BV39">
            <v>0.25</v>
          </cell>
        </row>
        <row r="55">
          <cell r="BV55">
            <v>0.11666666666666665</v>
          </cell>
        </row>
        <row r="71">
          <cell r="BV71">
            <v>9.9999999999999992E-2</v>
          </cell>
        </row>
        <row r="87">
          <cell r="BV87">
            <v>9.9999999999999992E-2</v>
          </cell>
        </row>
        <row r="103">
          <cell r="BV103">
            <v>0</v>
          </cell>
        </row>
        <row r="119">
          <cell r="BV119">
            <v>0.29166666666666669</v>
          </cell>
        </row>
        <row r="135">
          <cell r="BV135">
            <v>0.27499999999999997</v>
          </cell>
        </row>
        <row r="151">
          <cell r="BV151">
            <v>0.39999999999999997</v>
          </cell>
        </row>
        <row r="167">
          <cell r="BV167">
            <v>0.19999999999999998</v>
          </cell>
        </row>
        <row r="183">
          <cell r="BV183">
            <v>0.25</v>
          </cell>
        </row>
        <row r="199">
          <cell r="BV199">
            <v>0.15</v>
          </cell>
        </row>
        <row r="215">
          <cell r="BV215">
            <v>0.28333333333333333</v>
          </cell>
        </row>
        <row r="231">
          <cell r="BV231">
            <v>0.54999999999999993</v>
          </cell>
        </row>
        <row r="247">
          <cell r="BV247">
            <v>0.4916666666666667</v>
          </cell>
        </row>
        <row r="263">
          <cell r="BV263">
            <v>0.53333333333333333</v>
          </cell>
        </row>
        <row r="279">
          <cell r="BV279">
            <v>0.23333333333333331</v>
          </cell>
        </row>
        <row r="295">
          <cell r="BV295">
            <v>0.30833333333333335</v>
          </cell>
        </row>
        <row r="311">
          <cell r="BV311">
            <v>0.375</v>
          </cell>
        </row>
        <row r="327">
          <cell r="BV327">
            <v>0.39999999999999997</v>
          </cell>
        </row>
        <row r="343">
          <cell r="BV343">
            <v>0.48333333333333334</v>
          </cell>
        </row>
        <row r="359">
          <cell r="BV359">
            <v>0.2416666666666667</v>
          </cell>
        </row>
        <row r="375">
          <cell r="BV375">
            <v>9.9999999999999992E-2</v>
          </cell>
        </row>
        <row r="391">
          <cell r="BV391">
            <v>0.48333333333333334</v>
          </cell>
        </row>
        <row r="407">
          <cell r="BV407">
            <v>0.28333333333333338</v>
          </cell>
        </row>
        <row r="423">
          <cell r="BV423">
            <v>0.38333333333333336</v>
          </cell>
        </row>
        <row r="439">
          <cell r="BV439">
            <v>0.5</v>
          </cell>
        </row>
        <row r="455">
          <cell r="BV455">
            <v>0.17500000000000002</v>
          </cell>
        </row>
        <row r="471">
          <cell r="BV471">
            <v>0.33333333333333331</v>
          </cell>
        </row>
      </sheetData>
      <sheetData sheetId="2"/>
      <sheetData sheetId="3">
        <row r="4">
          <cell r="C4">
            <v>3840.9754040227876</v>
          </cell>
          <cell r="D4">
            <v>0</v>
          </cell>
        </row>
        <row r="5">
          <cell r="C5">
            <v>3933.4428768597804</v>
          </cell>
          <cell r="D5">
            <v>0</v>
          </cell>
        </row>
        <row r="6">
          <cell r="C6">
            <v>4087.0590909090902</v>
          </cell>
          <cell r="D6">
            <v>0</v>
          </cell>
        </row>
        <row r="7">
          <cell r="C7">
            <v>3872.7864135021096</v>
          </cell>
          <cell r="D7">
            <v>0</v>
          </cell>
        </row>
        <row r="8">
          <cell r="C8">
            <v>4078.0719298245608</v>
          </cell>
          <cell r="D8">
            <v>0</v>
          </cell>
        </row>
        <row r="9">
          <cell r="C9">
            <v>4082.9575757575753</v>
          </cell>
          <cell r="D9">
            <v>0</v>
          </cell>
        </row>
        <row r="10">
          <cell r="C10">
            <v>3999.0125943396229</v>
          </cell>
          <cell r="D10">
            <v>0</v>
          </cell>
        </row>
        <row r="11">
          <cell r="C11">
            <v>4038.8784186502903</v>
          </cell>
          <cell r="D11">
            <v>0</v>
          </cell>
        </row>
        <row r="12">
          <cell r="C12">
            <v>4093.7586147511633</v>
          </cell>
          <cell r="D12">
            <v>0</v>
          </cell>
        </row>
        <row r="13">
          <cell r="C13">
            <v>4349.0234782608695</v>
          </cell>
          <cell r="D13">
            <v>0</v>
          </cell>
        </row>
        <row r="14">
          <cell r="C14">
            <v>4284.517900509205</v>
          </cell>
          <cell r="D14">
            <v>0</v>
          </cell>
        </row>
        <row r="15">
          <cell r="C15">
            <v>4026.786126154826</v>
          </cell>
          <cell r="D15">
            <v>0</v>
          </cell>
        </row>
        <row r="16">
          <cell r="C16">
            <v>4061.4484848484844</v>
          </cell>
          <cell r="D16">
            <v>0</v>
          </cell>
        </row>
        <row r="17">
          <cell r="C17">
            <v>4161.6030303030302</v>
          </cell>
          <cell r="D17">
            <v>0</v>
          </cell>
        </row>
        <row r="18">
          <cell r="C18">
            <v>4198.4781336502829</v>
          </cell>
          <cell r="D18">
            <v>0</v>
          </cell>
        </row>
        <row r="19">
          <cell r="C19">
            <v>4325.0405000000001</v>
          </cell>
          <cell r="D19">
            <v>0</v>
          </cell>
        </row>
        <row r="20">
          <cell r="C20">
            <v>4326.2950626959246</v>
          </cell>
          <cell r="D20">
            <v>0</v>
          </cell>
        </row>
        <row r="21">
          <cell r="C21">
            <v>4200.4862542955325</v>
          </cell>
          <cell r="D21">
            <v>0</v>
          </cell>
        </row>
        <row r="22">
          <cell r="C22">
            <v>4194.8956618589737</v>
          </cell>
          <cell r="D22">
            <v>0</v>
          </cell>
        </row>
        <row r="23">
          <cell r="C23">
            <v>4318.3469333333333</v>
          </cell>
          <cell r="D23">
            <v>0</v>
          </cell>
        </row>
        <row r="24">
          <cell r="C24">
            <v>4300.0508009153318</v>
          </cell>
          <cell r="D24">
            <v>0</v>
          </cell>
        </row>
        <row r="25">
          <cell r="C25">
            <v>4278.8212885154062</v>
          </cell>
          <cell r="D25">
            <v>0</v>
          </cell>
        </row>
        <row r="26">
          <cell r="C26">
            <v>4287.0551111111117</v>
          </cell>
          <cell r="D26">
            <v>0</v>
          </cell>
        </row>
        <row r="27">
          <cell r="C27">
            <v>4204.206871345029</v>
          </cell>
          <cell r="D27">
            <v>0</v>
          </cell>
        </row>
        <row r="28">
          <cell r="C28">
            <v>4298.1088669108676</v>
          </cell>
          <cell r="D28">
            <v>0</v>
          </cell>
        </row>
        <row r="29">
          <cell r="C29">
            <v>4293.8480620155051</v>
          </cell>
          <cell r="D29">
            <v>0</v>
          </cell>
        </row>
        <row r="30">
          <cell r="C30">
            <v>4230.4339148232493</v>
          </cell>
          <cell r="D30">
            <v>0</v>
          </cell>
        </row>
        <row r="31">
          <cell r="C31">
            <v>4316.9965811965812</v>
          </cell>
          <cell r="D31">
            <v>0</v>
          </cell>
        </row>
        <row r="32">
          <cell r="C32">
            <v>4098.4337333333333</v>
          </cell>
          <cell r="D32">
            <v>0</v>
          </cell>
        </row>
        <row r="33">
          <cell r="C33">
            <v>4223.3918367346932</v>
          </cell>
          <cell r="D33">
            <v>0</v>
          </cell>
        </row>
      </sheetData>
      <sheetData sheetId="4">
        <row r="4">
          <cell r="B4">
            <v>1</v>
          </cell>
          <cell r="D4">
            <v>0</v>
          </cell>
          <cell r="E4">
            <v>0.60833333333333328</v>
          </cell>
          <cell r="F4">
            <v>0.39166666666666672</v>
          </cell>
          <cell r="G4">
            <v>0</v>
          </cell>
          <cell r="H4">
            <v>0</v>
          </cell>
        </row>
        <row r="5">
          <cell r="B5">
            <v>2</v>
          </cell>
          <cell r="D5">
            <v>0</v>
          </cell>
          <cell r="E5">
            <v>0.3</v>
          </cell>
          <cell r="F5">
            <v>0.7</v>
          </cell>
          <cell r="G5">
            <v>0</v>
          </cell>
          <cell r="H5">
            <v>0</v>
          </cell>
        </row>
        <row r="6">
          <cell r="B6">
            <v>3</v>
          </cell>
          <cell r="D6">
            <v>0</v>
          </cell>
          <cell r="E6">
            <v>0.25</v>
          </cell>
          <cell r="F6">
            <v>0.75</v>
          </cell>
          <cell r="G6">
            <v>0</v>
          </cell>
          <cell r="H6">
            <v>0</v>
          </cell>
        </row>
        <row r="7">
          <cell r="B7">
            <v>4</v>
          </cell>
          <cell r="D7">
            <v>0</v>
          </cell>
          <cell r="E7">
            <v>0.11666666666666665</v>
          </cell>
          <cell r="F7">
            <v>0.8833333333333333</v>
          </cell>
          <cell r="G7">
            <v>0</v>
          </cell>
          <cell r="H7">
            <v>0</v>
          </cell>
        </row>
        <row r="8">
          <cell r="B8">
            <v>5</v>
          </cell>
          <cell r="D8">
            <v>0</v>
          </cell>
          <cell r="E8">
            <v>9.9999999999999992E-2</v>
          </cell>
          <cell r="F8">
            <v>0.9</v>
          </cell>
          <cell r="G8">
            <v>0</v>
          </cell>
          <cell r="H8">
            <v>0</v>
          </cell>
        </row>
        <row r="9">
          <cell r="B9">
            <v>6</v>
          </cell>
          <cell r="D9">
            <v>0</v>
          </cell>
          <cell r="E9">
            <v>9.9999999999999992E-2</v>
          </cell>
          <cell r="F9">
            <v>0.9</v>
          </cell>
          <cell r="G9">
            <v>0</v>
          </cell>
          <cell r="H9">
            <v>0</v>
          </cell>
        </row>
        <row r="10">
          <cell r="B10">
            <v>7</v>
          </cell>
          <cell r="D10">
            <v>0</v>
          </cell>
          <cell r="E10">
            <v>0</v>
          </cell>
          <cell r="F10">
            <v>1</v>
          </cell>
          <cell r="G10">
            <v>0</v>
          </cell>
          <cell r="H10">
            <v>0</v>
          </cell>
        </row>
        <row r="11">
          <cell r="B11">
            <v>8</v>
          </cell>
          <cell r="D11">
            <v>0</v>
          </cell>
          <cell r="E11">
            <v>0.29166666666666669</v>
          </cell>
          <cell r="F11">
            <v>0.70833333333333326</v>
          </cell>
          <cell r="G11">
            <v>0</v>
          </cell>
          <cell r="H11">
            <v>0</v>
          </cell>
        </row>
        <row r="12">
          <cell r="B12">
            <v>9</v>
          </cell>
          <cell r="D12">
            <v>0</v>
          </cell>
          <cell r="E12">
            <v>0.27499999999999997</v>
          </cell>
          <cell r="F12">
            <v>0.72500000000000009</v>
          </cell>
          <cell r="G12">
            <v>0</v>
          </cell>
          <cell r="H12">
            <v>0</v>
          </cell>
        </row>
        <row r="13">
          <cell r="B13">
            <v>10</v>
          </cell>
          <cell r="D13">
            <v>0</v>
          </cell>
          <cell r="E13">
            <v>0.39999999999999997</v>
          </cell>
          <cell r="F13">
            <v>0.60000000000000009</v>
          </cell>
          <cell r="G13">
            <v>0</v>
          </cell>
          <cell r="H13">
            <v>0</v>
          </cell>
        </row>
        <row r="14">
          <cell r="B14">
            <v>11</v>
          </cell>
          <cell r="D14">
            <v>0</v>
          </cell>
          <cell r="E14">
            <v>0.19999999999999998</v>
          </cell>
          <cell r="F14">
            <v>0.8</v>
          </cell>
          <cell r="G14">
            <v>0</v>
          </cell>
          <cell r="H14">
            <v>0</v>
          </cell>
        </row>
        <row r="15">
          <cell r="B15">
            <v>12</v>
          </cell>
          <cell r="D15">
            <v>0</v>
          </cell>
          <cell r="E15">
            <v>0.25</v>
          </cell>
          <cell r="F15">
            <v>0.75</v>
          </cell>
          <cell r="G15">
            <v>0</v>
          </cell>
          <cell r="H15">
            <v>0</v>
          </cell>
        </row>
        <row r="16">
          <cell r="B16">
            <v>13</v>
          </cell>
          <cell r="D16">
            <v>0</v>
          </cell>
          <cell r="E16">
            <v>0.15</v>
          </cell>
          <cell r="F16">
            <v>0.85</v>
          </cell>
          <cell r="G16">
            <v>0</v>
          </cell>
          <cell r="H16">
            <v>0</v>
          </cell>
        </row>
        <row r="17">
          <cell r="B17">
            <v>14</v>
          </cell>
          <cell r="D17">
            <v>0</v>
          </cell>
          <cell r="E17">
            <v>0.28333333333333333</v>
          </cell>
          <cell r="F17">
            <v>0.71666666666666667</v>
          </cell>
          <cell r="G17">
            <v>0</v>
          </cell>
          <cell r="H17">
            <v>0</v>
          </cell>
        </row>
        <row r="18">
          <cell r="B18">
            <v>15</v>
          </cell>
          <cell r="D18">
            <v>0</v>
          </cell>
          <cell r="E18">
            <v>0.54999999999999993</v>
          </cell>
          <cell r="F18">
            <v>0.45000000000000007</v>
          </cell>
          <cell r="G18">
            <v>0</v>
          </cell>
          <cell r="H18">
            <v>0</v>
          </cell>
        </row>
        <row r="19">
          <cell r="B19">
            <v>16</v>
          </cell>
          <cell r="D19">
            <v>0</v>
          </cell>
          <cell r="E19">
            <v>0.4916666666666667</v>
          </cell>
          <cell r="F19">
            <v>0.5083333333333333</v>
          </cell>
          <cell r="G19">
            <v>0</v>
          </cell>
          <cell r="H19">
            <v>0</v>
          </cell>
        </row>
        <row r="20">
          <cell r="B20">
            <v>17</v>
          </cell>
          <cell r="D20">
            <v>0</v>
          </cell>
          <cell r="E20">
            <v>0.53333333333333333</v>
          </cell>
          <cell r="F20">
            <v>0.46666666666666667</v>
          </cell>
          <cell r="G20">
            <v>0</v>
          </cell>
          <cell r="H20">
            <v>0</v>
          </cell>
        </row>
        <row r="21">
          <cell r="B21">
            <v>18</v>
          </cell>
          <cell r="D21">
            <v>0</v>
          </cell>
          <cell r="E21">
            <v>0.23333333333333331</v>
          </cell>
          <cell r="F21">
            <v>0.76666666666666672</v>
          </cell>
          <cell r="G21">
            <v>0</v>
          </cell>
          <cell r="H21">
            <v>0</v>
          </cell>
        </row>
        <row r="22">
          <cell r="B22">
            <v>19</v>
          </cell>
          <cell r="D22">
            <v>0</v>
          </cell>
          <cell r="E22">
            <v>0.30833333333333335</v>
          </cell>
          <cell r="F22">
            <v>0.69166666666666665</v>
          </cell>
          <cell r="G22">
            <v>0</v>
          </cell>
          <cell r="H22">
            <v>0</v>
          </cell>
        </row>
        <row r="23">
          <cell r="B23">
            <v>20</v>
          </cell>
          <cell r="D23">
            <v>0</v>
          </cell>
          <cell r="E23">
            <v>0.375</v>
          </cell>
          <cell r="F23">
            <v>0.625</v>
          </cell>
          <cell r="G23">
            <v>0</v>
          </cell>
          <cell r="H23">
            <v>0</v>
          </cell>
        </row>
        <row r="24">
          <cell r="B24">
            <v>21</v>
          </cell>
          <cell r="D24">
            <v>0</v>
          </cell>
          <cell r="E24">
            <v>0.39999999999999997</v>
          </cell>
          <cell r="F24">
            <v>0.60000000000000009</v>
          </cell>
          <cell r="G24">
            <v>0</v>
          </cell>
          <cell r="H24">
            <v>0</v>
          </cell>
        </row>
        <row r="25">
          <cell r="B25">
            <v>22</v>
          </cell>
          <cell r="D25">
            <v>0</v>
          </cell>
          <cell r="E25">
            <v>0.48333333333333334</v>
          </cell>
          <cell r="F25">
            <v>0.51666666666666661</v>
          </cell>
          <cell r="G25">
            <v>0</v>
          </cell>
          <cell r="H25">
            <v>0</v>
          </cell>
        </row>
        <row r="26">
          <cell r="B26">
            <v>23</v>
          </cell>
          <cell r="D26">
            <v>0</v>
          </cell>
          <cell r="E26">
            <v>0.2416666666666667</v>
          </cell>
          <cell r="F26">
            <v>0.7583333333333333</v>
          </cell>
          <cell r="G26">
            <v>0</v>
          </cell>
          <cell r="H26">
            <v>0</v>
          </cell>
        </row>
        <row r="27">
          <cell r="B27">
            <v>24</v>
          </cell>
          <cell r="D27">
            <v>0</v>
          </cell>
          <cell r="E27">
            <v>9.9999999999999992E-2</v>
          </cell>
          <cell r="F27">
            <v>0.9</v>
          </cell>
          <cell r="G27">
            <v>0</v>
          </cell>
          <cell r="H27">
            <v>0</v>
          </cell>
        </row>
        <row r="28">
          <cell r="B28">
            <v>25</v>
          </cell>
          <cell r="D28">
            <v>0</v>
          </cell>
          <cell r="E28">
            <v>0.48333333333333334</v>
          </cell>
          <cell r="F28">
            <v>0.51666666666666661</v>
          </cell>
          <cell r="G28">
            <v>0</v>
          </cell>
          <cell r="H28">
            <v>0</v>
          </cell>
        </row>
        <row r="29">
          <cell r="B29">
            <v>26</v>
          </cell>
          <cell r="D29">
            <v>0</v>
          </cell>
          <cell r="E29">
            <v>0.28333333333333338</v>
          </cell>
          <cell r="F29">
            <v>0.71666666666666656</v>
          </cell>
          <cell r="G29">
            <v>0</v>
          </cell>
          <cell r="H29">
            <v>0</v>
          </cell>
        </row>
        <row r="30">
          <cell r="B30">
            <v>27</v>
          </cell>
          <cell r="D30">
            <v>0</v>
          </cell>
          <cell r="E30">
            <v>0.38333333333333336</v>
          </cell>
          <cell r="F30">
            <v>0.6166666666666667</v>
          </cell>
          <cell r="G30">
            <v>0</v>
          </cell>
          <cell r="H30">
            <v>0</v>
          </cell>
        </row>
        <row r="31">
          <cell r="B31">
            <v>28</v>
          </cell>
          <cell r="D31">
            <v>0</v>
          </cell>
          <cell r="E31">
            <v>0.5</v>
          </cell>
          <cell r="F31">
            <v>0.5</v>
          </cell>
          <cell r="G31">
            <v>0</v>
          </cell>
          <cell r="H31">
            <v>0</v>
          </cell>
        </row>
        <row r="32">
          <cell r="B32">
            <v>29</v>
          </cell>
          <cell r="D32">
            <v>0</v>
          </cell>
          <cell r="E32">
            <v>0.17500000000000002</v>
          </cell>
          <cell r="F32">
            <v>0.82499999999999996</v>
          </cell>
          <cell r="G32">
            <v>0</v>
          </cell>
          <cell r="H32">
            <v>0</v>
          </cell>
        </row>
        <row r="33">
          <cell r="B33">
            <v>30</v>
          </cell>
          <cell r="D33">
            <v>0</v>
          </cell>
          <cell r="E33">
            <v>0.33333333333333331</v>
          </cell>
          <cell r="F33">
            <v>0.66666666666666674</v>
          </cell>
          <cell r="G33">
            <v>0</v>
          </cell>
          <cell r="H33">
            <v>0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ATU"/>
      <sheetName val="Coal Blend"/>
      <sheetName val="Resume Coal Blend"/>
      <sheetName val="Estimasi NPHR"/>
      <sheetName val="UNIT 1"/>
      <sheetName val="UNIT 2"/>
      <sheetName val="UNIT 3"/>
      <sheetName val="COAL BLENDING MARET 2020"/>
      <sheetName val="INPUT DATA"/>
      <sheetName val="kWh Gross"/>
      <sheetName val="MaxMin"/>
    </sheetNames>
    <sheetDataSet>
      <sheetData sheetId="0"/>
      <sheetData sheetId="1">
        <row r="7">
          <cell r="BV7">
            <v>0.40833333333333327</v>
          </cell>
        </row>
        <row r="23">
          <cell r="BV23">
            <v>0.25</v>
          </cell>
        </row>
        <row r="39">
          <cell r="BV39">
            <v>0.10833333333333334</v>
          </cell>
        </row>
        <row r="55">
          <cell r="BV55">
            <v>0.30833333333333329</v>
          </cell>
        </row>
        <row r="71">
          <cell r="BV71">
            <v>0.43333333333333335</v>
          </cell>
        </row>
        <row r="87">
          <cell r="BV87">
            <v>0.31666666666666665</v>
          </cell>
        </row>
        <row r="103">
          <cell r="BV103">
            <v>0.3666666666666667</v>
          </cell>
        </row>
        <row r="119">
          <cell r="BV119">
            <v>9.9999999999999992E-2</v>
          </cell>
        </row>
        <row r="135">
          <cell r="BV135">
            <v>0.16666666666666666</v>
          </cell>
        </row>
        <row r="151">
          <cell r="BV151">
            <v>0.28333333333333338</v>
          </cell>
        </row>
        <row r="167">
          <cell r="BV167">
            <v>0.46666666666666662</v>
          </cell>
        </row>
        <row r="183">
          <cell r="BV183">
            <v>0.35833333333333334</v>
          </cell>
        </row>
        <row r="199">
          <cell r="BV199">
            <v>0.5</v>
          </cell>
        </row>
        <row r="215">
          <cell r="BV215">
            <v>0.3666666666666667</v>
          </cell>
        </row>
        <row r="231">
          <cell r="BV231">
            <v>0.3833333333333333</v>
          </cell>
        </row>
        <row r="247">
          <cell r="BV247">
            <v>0.5</v>
          </cell>
        </row>
        <row r="263">
          <cell r="BV263">
            <v>0.23333333333333331</v>
          </cell>
        </row>
        <row r="279">
          <cell r="BV279">
            <v>0.39999999999999997</v>
          </cell>
        </row>
        <row r="295">
          <cell r="BV295">
            <v>0.3833333333333333</v>
          </cell>
        </row>
        <row r="311">
          <cell r="BV311">
            <v>0.78333333333333333</v>
          </cell>
        </row>
        <row r="327">
          <cell r="BV327">
            <v>0.41666666666666669</v>
          </cell>
        </row>
        <row r="343">
          <cell r="BV343">
            <v>0.35000000000000003</v>
          </cell>
        </row>
        <row r="359">
          <cell r="BV359">
            <v>0.41666666666666669</v>
          </cell>
        </row>
        <row r="375">
          <cell r="BV375">
            <v>0.64166666666666672</v>
          </cell>
        </row>
        <row r="391">
          <cell r="BV391">
            <v>0.41666666666666669</v>
          </cell>
        </row>
        <row r="407">
          <cell r="BV407">
            <v>0.45</v>
          </cell>
        </row>
        <row r="423">
          <cell r="BV423">
            <v>0.3833333333333333</v>
          </cell>
        </row>
        <row r="439">
          <cell r="BV439">
            <v>0.33333333333333331</v>
          </cell>
        </row>
        <row r="455">
          <cell r="BV455">
            <v>0.3</v>
          </cell>
        </row>
        <row r="471">
          <cell r="BV471">
            <v>0.33333333333333331</v>
          </cell>
        </row>
      </sheetData>
      <sheetData sheetId="2"/>
      <sheetData sheetId="3">
        <row r="4">
          <cell r="C4">
            <v>4187.4241067675493</v>
          </cell>
          <cell r="D4">
            <v>0</v>
          </cell>
        </row>
        <row r="5">
          <cell r="C5">
            <v>4323.7601740890686</v>
          </cell>
          <cell r="D5">
            <v>0</v>
          </cell>
        </row>
        <row r="6">
          <cell r="C6">
            <v>4088.3676100628927</v>
          </cell>
          <cell r="D6">
            <v>0</v>
          </cell>
        </row>
        <row r="7">
          <cell r="C7">
            <v>4154.3423222222218</v>
          </cell>
          <cell r="D7">
            <v>0</v>
          </cell>
        </row>
        <row r="8">
          <cell r="C8">
            <v>4271.0666666666666</v>
          </cell>
          <cell r="D8">
            <v>0</v>
          </cell>
        </row>
        <row r="9">
          <cell r="C9">
            <v>4303.6843137254909</v>
          </cell>
          <cell r="D9">
            <v>0</v>
          </cell>
        </row>
        <row r="10">
          <cell r="C10">
            <v>4383.5013333333336</v>
          </cell>
          <cell r="D10">
            <v>0</v>
          </cell>
        </row>
        <row r="11">
          <cell r="C11">
            <v>4248.0166666666664</v>
          </cell>
          <cell r="D11">
            <v>0</v>
          </cell>
        </row>
        <row r="12">
          <cell r="C12">
            <v>4316.9803921568628</v>
          </cell>
          <cell r="D12">
            <v>0</v>
          </cell>
        </row>
        <row r="13">
          <cell r="C13">
            <v>4267.0111940298511</v>
          </cell>
          <cell r="D13">
            <v>0</v>
          </cell>
        </row>
        <row r="14">
          <cell r="C14">
            <v>4329.385737454304</v>
          </cell>
          <cell r="D14">
            <v>0</v>
          </cell>
        </row>
        <row r="15">
          <cell r="C15">
            <v>4271.8852578616352</v>
          </cell>
          <cell r="D15">
            <v>0</v>
          </cell>
        </row>
        <row r="16">
          <cell r="C16">
            <v>4348.9388888888889</v>
          </cell>
          <cell r="D16">
            <v>0</v>
          </cell>
        </row>
        <row r="17">
          <cell r="C17">
            <v>4317.5625</v>
          </cell>
          <cell r="D17">
            <v>0</v>
          </cell>
        </row>
        <row r="18">
          <cell r="C18">
            <v>3754.1835748792269</v>
          </cell>
          <cell r="D18">
            <v>0</v>
          </cell>
        </row>
        <row r="19">
          <cell r="C19">
            <v>4352.9523809523807</v>
          </cell>
          <cell r="D19">
            <v>0</v>
          </cell>
        </row>
        <row r="20">
          <cell r="C20">
            <v>4250.8304600606671</v>
          </cell>
          <cell r="D20">
            <v>0</v>
          </cell>
        </row>
        <row r="21">
          <cell r="C21">
            <v>4340.9440251572332</v>
          </cell>
          <cell r="D21">
            <v>0</v>
          </cell>
        </row>
        <row r="22">
          <cell r="C22">
            <v>4274.3895632183912</v>
          </cell>
          <cell r="D22">
            <v>0</v>
          </cell>
        </row>
        <row r="23">
          <cell r="C23">
            <v>4346.5641577380957</v>
          </cell>
          <cell r="D23">
            <v>0</v>
          </cell>
        </row>
        <row r="24">
          <cell r="C24">
            <v>4454.5654520917678</v>
          </cell>
          <cell r="D24">
            <v>0</v>
          </cell>
        </row>
        <row r="25">
          <cell r="C25">
            <v>4313.6111111111104</v>
          </cell>
          <cell r="D25">
            <v>0</v>
          </cell>
        </row>
        <row r="26">
          <cell r="C26">
            <v>4407.0717459893049</v>
          </cell>
          <cell r="D26">
            <v>0</v>
          </cell>
        </row>
        <row r="27">
          <cell r="C27">
            <v>4372.0752182072838</v>
          </cell>
          <cell r="D27">
            <v>0</v>
          </cell>
        </row>
        <row r="28">
          <cell r="C28">
            <v>4202.090958164642</v>
          </cell>
          <cell r="D28">
            <v>0</v>
          </cell>
        </row>
        <row r="29">
          <cell r="C29">
            <v>4320.6648148148151</v>
          </cell>
          <cell r="D29">
            <v>0</v>
          </cell>
        </row>
        <row r="30">
          <cell r="C30">
            <v>4390.1629629629633</v>
          </cell>
          <cell r="D30">
            <v>0</v>
          </cell>
        </row>
        <row r="31">
          <cell r="C31">
            <v>4457.8654244306417</v>
          </cell>
          <cell r="D31">
            <v>0</v>
          </cell>
        </row>
        <row r="32">
          <cell r="C32">
            <v>4533.0072727272736</v>
          </cell>
          <cell r="D32">
            <v>0</v>
          </cell>
        </row>
        <row r="33">
          <cell r="C33">
            <v>4334.938405797101</v>
          </cell>
          <cell r="D33">
            <v>0</v>
          </cell>
        </row>
      </sheetData>
      <sheetData sheetId="4">
        <row r="4">
          <cell r="B4">
            <v>1</v>
          </cell>
          <cell r="D4">
            <v>0</v>
          </cell>
          <cell r="E4">
            <v>0.40833333333333327</v>
          </cell>
          <cell r="F4">
            <v>0.59166666666666679</v>
          </cell>
          <cell r="G4">
            <v>0</v>
          </cell>
          <cell r="H4">
            <v>0</v>
          </cell>
        </row>
        <row r="5">
          <cell r="B5">
            <v>2</v>
          </cell>
          <cell r="D5">
            <v>0</v>
          </cell>
          <cell r="E5">
            <v>0.25</v>
          </cell>
          <cell r="F5">
            <v>0.75</v>
          </cell>
          <cell r="G5">
            <v>0</v>
          </cell>
          <cell r="H5">
            <v>0</v>
          </cell>
        </row>
        <row r="6">
          <cell r="B6">
            <v>3</v>
          </cell>
          <cell r="D6">
            <v>0</v>
          </cell>
          <cell r="E6">
            <v>0.10833333333333334</v>
          </cell>
          <cell r="F6">
            <v>0.89166666666666661</v>
          </cell>
          <cell r="G6">
            <v>0</v>
          </cell>
          <cell r="H6">
            <v>0</v>
          </cell>
        </row>
        <row r="7">
          <cell r="B7">
            <v>4</v>
          </cell>
          <cell r="D7">
            <v>0</v>
          </cell>
          <cell r="E7">
            <v>0.30833333333333329</v>
          </cell>
          <cell r="F7">
            <v>0.69166666666666665</v>
          </cell>
          <cell r="G7">
            <v>0</v>
          </cell>
          <cell r="H7">
            <v>0</v>
          </cell>
        </row>
        <row r="8">
          <cell r="B8">
            <v>5</v>
          </cell>
          <cell r="D8">
            <v>0</v>
          </cell>
          <cell r="E8">
            <v>0.43333333333333335</v>
          </cell>
          <cell r="F8">
            <v>0.56666666666666665</v>
          </cell>
          <cell r="G8">
            <v>0</v>
          </cell>
          <cell r="H8">
            <v>0</v>
          </cell>
        </row>
        <row r="9">
          <cell r="B9">
            <v>6</v>
          </cell>
          <cell r="D9">
            <v>0</v>
          </cell>
          <cell r="E9">
            <v>0.31666666666666665</v>
          </cell>
          <cell r="F9">
            <v>0.68333333333333335</v>
          </cell>
          <cell r="G9">
            <v>0</v>
          </cell>
          <cell r="H9">
            <v>0</v>
          </cell>
        </row>
        <row r="10">
          <cell r="B10">
            <v>7</v>
          </cell>
          <cell r="D10">
            <v>0</v>
          </cell>
          <cell r="E10">
            <v>0.3666666666666667</v>
          </cell>
          <cell r="F10">
            <v>0.6333333333333333</v>
          </cell>
          <cell r="G10">
            <v>0</v>
          </cell>
          <cell r="H10">
            <v>0</v>
          </cell>
        </row>
        <row r="11">
          <cell r="B11">
            <v>8</v>
          </cell>
          <cell r="D11">
            <v>0</v>
          </cell>
          <cell r="E11">
            <v>9.9999999999999992E-2</v>
          </cell>
          <cell r="F11">
            <v>0.9</v>
          </cell>
          <cell r="G11">
            <v>0</v>
          </cell>
          <cell r="H11">
            <v>0</v>
          </cell>
        </row>
        <row r="12">
          <cell r="B12">
            <v>9</v>
          </cell>
          <cell r="D12">
            <v>0</v>
          </cell>
          <cell r="E12">
            <v>0.16666666666666666</v>
          </cell>
          <cell r="F12">
            <v>0.83333333333333337</v>
          </cell>
          <cell r="G12">
            <v>0</v>
          </cell>
          <cell r="H12">
            <v>0</v>
          </cell>
        </row>
        <row r="13">
          <cell r="B13">
            <v>10</v>
          </cell>
          <cell r="D13">
            <v>0</v>
          </cell>
          <cell r="E13">
            <v>0.28333333333333338</v>
          </cell>
          <cell r="F13">
            <v>0.71666666666666656</v>
          </cell>
          <cell r="G13">
            <v>0</v>
          </cell>
          <cell r="H13">
            <v>0</v>
          </cell>
        </row>
        <row r="14">
          <cell r="B14">
            <v>11</v>
          </cell>
          <cell r="D14">
            <v>0</v>
          </cell>
          <cell r="E14">
            <v>0.46666666666666662</v>
          </cell>
          <cell r="F14">
            <v>0.53333333333333344</v>
          </cell>
          <cell r="G14">
            <v>0</v>
          </cell>
          <cell r="H14">
            <v>0</v>
          </cell>
        </row>
        <row r="15">
          <cell r="B15">
            <v>12</v>
          </cell>
          <cell r="D15">
            <v>0</v>
          </cell>
          <cell r="E15">
            <v>0.35833333333333334</v>
          </cell>
          <cell r="F15">
            <v>0.64166666666666661</v>
          </cell>
          <cell r="G15">
            <v>0</v>
          </cell>
          <cell r="H15">
            <v>0</v>
          </cell>
        </row>
        <row r="16">
          <cell r="B16">
            <v>13</v>
          </cell>
          <cell r="D16">
            <v>0</v>
          </cell>
          <cell r="E16">
            <v>0.5</v>
          </cell>
          <cell r="F16">
            <v>0.5</v>
          </cell>
          <cell r="G16">
            <v>0</v>
          </cell>
          <cell r="H16">
            <v>0</v>
          </cell>
        </row>
        <row r="17">
          <cell r="B17">
            <v>14</v>
          </cell>
          <cell r="D17">
            <v>0</v>
          </cell>
          <cell r="E17">
            <v>0.3666666666666667</v>
          </cell>
          <cell r="F17">
            <v>0.6333333333333333</v>
          </cell>
          <cell r="G17">
            <v>0</v>
          </cell>
          <cell r="H17">
            <v>0</v>
          </cell>
        </row>
        <row r="18">
          <cell r="B18">
            <v>15</v>
          </cell>
          <cell r="D18">
            <v>0</v>
          </cell>
          <cell r="E18">
            <v>0.3833333333333333</v>
          </cell>
          <cell r="F18">
            <v>0.6166666666666667</v>
          </cell>
          <cell r="G18">
            <v>0</v>
          </cell>
          <cell r="H18">
            <v>0</v>
          </cell>
        </row>
        <row r="19">
          <cell r="B19">
            <v>16</v>
          </cell>
          <cell r="D19">
            <v>0</v>
          </cell>
          <cell r="E19">
            <v>0.5</v>
          </cell>
          <cell r="F19">
            <v>0.5</v>
          </cell>
          <cell r="G19">
            <v>0</v>
          </cell>
          <cell r="H19">
            <v>0</v>
          </cell>
        </row>
        <row r="20">
          <cell r="B20">
            <v>17</v>
          </cell>
          <cell r="D20">
            <v>0</v>
          </cell>
          <cell r="E20">
            <v>0.23333333333333331</v>
          </cell>
          <cell r="F20">
            <v>0.76666666666666672</v>
          </cell>
          <cell r="G20">
            <v>0</v>
          </cell>
          <cell r="H20">
            <v>0</v>
          </cell>
        </row>
        <row r="21">
          <cell r="B21">
            <v>18</v>
          </cell>
          <cell r="D21">
            <v>0</v>
          </cell>
          <cell r="E21">
            <v>0.39999999999999997</v>
          </cell>
          <cell r="F21">
            <v>0.60000000000000009</v>
          </cell>
          <cell r="G21">
            <v>0</v>
          </cell>
          <cell r="H21">
            <v>0</v>
          </cell>
        </row>
        <row r="22">
          <cell r="B22">
            <v>19</v>
          </cell>
          <cell r="D22">
            <v>0</v>
          </cell>
          <cell r="E22">
            <v>0.3833333333333333</v>
          </cell>
          <cell r="F22">
            <v>0.6166666666666667</v>
          </cell>
          <cell r="G22">
            <v>0</v>
          </cell>
          <cell r="H22">
            <v>0</v>
          </cell>
        </row>
        <row r="23">
          <cell r="B23">
            <v>20</v>
          </cell>
          <cell r="D23">
            <v>0</v>
          </cell>
          <cell r="E23">
            <v>0.78333333333333333</v>
          </cell>
          <cell r="F23">
            <v>0.21666666666666667</v>
          </cell>
          <cell r="G23">
            <v>0</v>
          </cell>
          <cell r="H23">
            <v>0</v>
          </cell>
        </row>
        <row r="24">
          <cell r="B24">
            <v>21</v>
          </cell>
          <cell r="D24">
            <v>0</v>
          </cell>
          <cell r="E24">
            <v>0.41666666666666669</v>
          </cell>
          <cell r="F24">
            <v>0.58333333333333326</v>
          </cell>
          <cell r="G24">
            <v>0</v>
          </cell>
          <cell r="H24">
            <v>0</v>
          </cell>
        </row>
        <row r="25">
          <cell r="B25">
            <v>22</v>
          </cell>
          <cell r="D25">
            <v>0</v>
          </cell>
          <cell r="E25">
            <v>0.35000000000000003</v>
          </cell>
          <cell r="F25">
            <v>0.64999999999999991</v>
          </cell>
          <cell r="G25">
            <v>0</v>
          </cell>
          <cell r="H25">
            <v>0</v>
          </cell>
        </row>
        <row r="26">
          <cell r="B26">
            <v>23</v>
          </cell>
          <cell r="D26">
            <v>0</v>
          </cell>
          <cell r="E26">
            <v>0.41666666666666669</v>
          </cell>
          <cell r="F26">
            <v>0.58333333333333326</v>
          </cell>
          <cell r="G26">
            <v>0</v>
          </cell>
          <cell r="H26">
            <v>0</v>
          </cell>
        </row>
        <row r="27">
          <cell r="B27">
            <v>24</v>
          </cell>
          <cell r="D27">
            <v>0</v>
          </cell>
          <cell r="E27">
            <v>0.64166666666666672</v>
          </cell>
          <cell r="F27">
            <v>0.35833333333333328</v>
          </cell>
          <cell r="G27">
            <v>0</v>
          </cell>
          <cell r="H27">
            <v>0</v>
          </cell>
        </row>
        <row r="28">
          <cell r="B28">
            <v>25</v>
          </cell>
          <cell r="D28">
            <v>0</v>
          </cell>
          <cell r="E28">
            <v>0.41666666666666669</v>
          </cell>
          <cell r="F28">
            <v>0.58333333333333326</v>
          </cell>
          <cell r="G28">
            <v>0</v>
          </cell>
          <cell r="H28">
            <v>0</v>
          </cell>
        </row>
        <row r="29">
          <cell r="B29">
            <v>26</v>
          </cell>
          <cell r="D29">
            <v>0</v>
          </cell>
          <cell r="E29">
            <v>0.45</v>
          </cell>
          <cell r="F29">
            <v>0.55000000000000004</v>
          </cell>
          <cell r="G29">
            <v>0</v>
          </cell>
          <cell r="H29">
            <v>0</v>
          </cell>
        </row>
        <row r="30">
          <cell r="B30">
            <v>27</v>
          </cell>
          <cell r="D30">
            <v>0</v>
          </cell>
          <cell r="E30">
            <v>0.3833333333333333</v>
          </cell>
          <cell r="F30">
            <v>0.6166666666666667</v>
          </cell>
          <cell r="G30">
            <v>0</v>
          </cell>
          <cell r="H30">
            <v>0</v>
          </cell>
        </row>
        <row r="31">
          <cell r="B31">
            <v>28</v>
          </cell>
          <cell r="D31">
            <v>0</v>
          </cell>
          <cell r="E31">
            <v>0.33333333333333331</v>
          </cell>
          <cell r="F31">
            <v>0.66666666666666674</v>
          </cell>
          <cell r="G31">
            <v>0</v>
          </cell>
          <cell r="H31">
            <v>0</v>
          </cell>
        </row>
        <row r="32">
          <cell r="B32">
            <v>29</v>
          </cell>
          <cell r="D32">
            <v>0</v>
          </cell>
          <cell r="E32">
            <v>0.3</v>
          </cell>
          <cell r="F32">
            <v>0.7</v>
          </cell>
          <cell r="G32">
            <v>0</v>
          </cell>
          <cell r="H32">
            <v>0</v>
          </cell>
        </row>
        <row r="33">
          <cell r="B33">
            <v>30</v>
          </cell>
          <cell r="D33">
            <v>0</v>
          </cell>
          <cell r="E33">
            <v>0.33333333333333331</v>
          </cell>
          <cell r="F33">
            <v>0.66666666666666674</v>
          </cell>
          <cell r="G33">
            <v>0</v>
          </cell>
          <cell r="H33">
            <v>0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49471-BC11-4069-A8F0-32FA47597A79}">
  <dimension ref="B1:I35"/>
  <sheetViews>
    <sheetView workbookViewId="0">
      <selection activeCell="J36" sqref="J36"/>
    </sheetView>
  </sheetViews>
  <sheetFormatPr defaultRowHeight="15" x14ac:dyDescent="0.25"/>
  <cols>
    <col min="2" max="2" width="8.5703125" bestFit="1" customWidth="1"/>
    <col min="3" max="3" width="9.5703125" bestFit="1" customWidth="1"/>
    <col min="4" max="4" width="11.5703125" bestFit="1" customWidth="1"/>
    <col min="5" max="6" width="5.5703125" bestFit="1" customWidth="1"/>
    <col min="7" max="8" width="10.5703125" bestFit="1" customWidth="1"/>
    <col min="9" max="9" width="12.5703125" bestFit="1" customWidth="1"/>
  </cols>
  <sheetData>
    <row r="1" spans="2:9" ht="15.75" thickBot="1" x14ac:dyDescent="0.3"/>
    <row r="2" spans="2:9" ht="16.5" thickBot="1" x14ac:dyDescent="0.3">
      <c r="B2" s="1" t="s">
        <v>6</v>
      </c>
      <c r="C2" s="2" t="s">
        <v>5</v>
      </c>
      <c r="D2" s="3"/>
      <c r="E2" s="3"/>
      <c r="F2" s="3"/>
      <c r="G2" s="3"/>
      <c r="H2" s="3"/>
      <c r="I2" s="4"/>
    </row>
    <row r="3" spans="2:9" ht="16.5" thickBot="1" x14ac:dyDescent="0.3">
      <c r="B3" s="5"/>
      <c r="C3" s="6" t="s">
        <v>4</v>
      </c>
      <c r="D3" s="7" t="s">
        <v>0</v>
      </c>
      <c r="E3" s="8" t="s">
        <v>1</v>
      </c>
      <c r="F3" s="8" t="s">
        <v>2</v>
      </c>
      <c r="G3" s="8" t="s">
        <v>1</v>
      </c>
      <c r="H3" s="8" t="s">
        <v>2</v>
      </c>
      <c r="I3" s="8" t="s">
        <v>3</v>
      </c>
    </row>
    <row r="4" spans="2:9" x14ac:dyDescent="0.25">
      <c r="B4" s="9">
        <v>1</v>
      </c>
      <c r="C4" s="10">
        <f>'[4]Estimasi NPHR'!C4</f>
        <v>4340.5576666666666</v>
      </c>
      <c r="D4" s="11">
        <f>'[4]Estimasi NPHR'!D4</f>
        <v>0</v>
      </c>
      <c r="E4" s="12">
        <f>'[4]Coal Blend'!BV7</f>
        <v>0.43333333333333335</v>
      </c>
      <c r="F4" s="12">
        <f>1-E4</f>
        <v>0.56666666666666665</v>
      </c>
      <c r="G4" s="13">
        <f>_xlfn.IFNA(E4*D4,0)</f>
        <v>0</v>
      </c>
      <c r="H4" s="13">
        <f>_xlfn.IFNA(F4*D4,0)</f>
        <v>0</v>
      </c>
      <c r="I4" s="13">
        <f>C4*D4</f>
        <v>0</v>
      </c>
    </row>
    <row r="5" spans="2:9" x14ac:dyDescent="0.25">
      <c r="B5" s="9">
        <v>2</v>
      </c>
      <c r="C5" s="10">
        <f>'[4]Estimasi NPHR'!C5</f>
        <v>4433.666666666667</v>
      </c>
      <c r="D5" s="11">
        <f>'[4]Estimasi NPHR'!D5</f>
        <v>0</v>
      </c>
      <c r="E5" s="12">
        <f>'[4]Coal Blend'!BV23</f>
        <v>0.5</v>
      </c>
      <c r="F5" s="12">
        <f t="shared" ref="F5:F33" si="0">1-E5</f>
        <v>0.5</v>
      </c>
      <c r="G5" s="13">
        <f t="shared" ref="G5:G33" si="1">_xlfn.IFNA(E5*D5,0)</f>
        <v>0</v>
      </c>
      <c r="H5" s="13">
        <f t="shared" ref="H5:H33" si="2">_xlfn.IFNA(F5*D5,0)</f>
        <v>0</v>
      </c>
      <c r="I5" s="13">
        <f t="shared" ref="I5:I33" si="3">C5*D5</f>
        <v>0</v>
      </c>
    </row>
    <row r="6" spans="2:9" x14ac:dyDescent="0.25">
      <c r="B6" s="9">
        <v>3</v>
      </c>
      <c r="C6" s="10">
        <f>'[4]Estimasi NPHR'!C6</f>
        <v>4360.1600000000008</v>
      </c>
      <c r="D6" s="11">
        <f>'[4]Estimasi NPHR'!D6</f>
        <v>0</v>
      </c>
      <c r="E6" s="12">
        <f>'[4]Coal Blend'!BV39</f>
        <v>0.43333333333333335</v>
      </c>
      <c r="F6" s="12">
        <f t="shared" si="0"/>
        <v>0.56666666666666665</v>
      </c>
      <c r="G6" s="13">
        <f t="shared" si="1"/>
        <v>0</v>
      </c>
      <c r="H6" s="13">
        <f t="shared" si="2"/>
        <v>0</v>
      </c>
      <c r="I6" s="13">
        <f t="shared" si="3"/>
        <v>0</v>
      </c>
    </row>
    <row r="7" spans="2:9" x14ac:dyDescent="0.25">
      <c r="B7" s="9">
        <v>4</v>
      </c>
      <c r="C7" s="10">
        <f>'[4]Estimasi NPHR'!C7</f>
        <v>4452.4454432477214</v>
      </c>
      <c r="D7" s="11">
        <f>'[4]Estimasi NPHR'!D7</f>
        <v>0</v>
      </c>
      <c r="E7" s="12">
        <f>'[4]Coal Blend'!BV55</f>
        <v>0.51666666666666661</v>
      </c>
      <c r="F7" s="12">
        <f t="shared" si="0"/>
        <v>0.48333333333333339</v>
      </c>
      <c r="G7" s="13">
        <f t="shared" si="1"/>
        <v>0</v>
      </c>
      <c r="H7" s="13">
        <f t="shared" si="2"/>
        <v>0</v>
      </c>
      <c r="I7" s="13">
        <f t="shared" si="3"/>
        <v>0</v>
      </c>
    </row>
    <row r="8" spans="2:9" x14ac:dyDescent="0.25">
      <c r="B8" s="9">
        <v>5</v>
      </c>
      <c r="C8" s="10">
        <f>'[4]Estimasi NPHR'!C8</f>
        <v>4492.5043532338304</v>
      </c>
      <c r="D8" s="11">
        <f>'[4]Estimasi NPHR'!D8</f>
        <v>0</v>
      </c>
      <c r="E8" s="12">
        <f>'[4]Coal Blend'!BV71</f>
        <v>0.91666666666666663</v>
      </c>
      <c r="F8" s="12">
        <f t="shared" si="0"/>
        <v>8.333333333333337E-2</v>
      </c>
      <c r="G8" s="13">
        <f t="shared" si="1"/>
        <v>0</v>
      </c>
      <c r="H8" s="13">
        <f t="shared" si="2"/>
        <v>0</v>
      </c>
      <c r="I8" s="13">
        <f t="shared" si="3"/>
        <v>0</v>
      </c>
    </row>
    <row r="9" spans="2:9" x14ac:dyDescent="0.25">
      <c r="B9" s="9">
        <v>6</v>
      </c>
      <c r="C9" s="10">
        <f>'[4]Estimasi NPHR'!C9</f>
        <v>4431.128015803336</v>
      </c>
      <c r="D9" s="11">
        <f>'[4]Estimasi NPHR'!D9</f>
        <v>0</v>
      </c>
      <c r="E9" s="12">
        <f>'[4]Coal Blend'!BV87</f>
        <v>0.6333333333333333</v>
      </c>
      <c r="F9" s="12">
        <f t="shared" si="0"/>
        <v>0.3666666666666667</v>
      </c>
      <c r="G9" s="13">
        <f t="shared" si="1"/>
        <v>0</v>
      </c>
      <c r="H9" s="13">
        <f t="shared" si="2"/>
        <v>0</v>
      </c>
      <c r="I9" s="13">
        <f t="shared" si="3"/>
        <v>0</v>
      </c>
    </row>
    <row r="10" spans="2:9" x14ac:dyDescent="0.25">
      <c r="B10" s="9">
        <v>7</v>
      </c>
      <c r="C10" s="10">
        <f>'[4]Estimasi NPHR'!C10</f>
        <v>4347.5101111111107</v>
      </c>
      <c r="D10" s="11">
        <f>'[4]Estimasi NPHR'!D10</f>
        <v>0</v>
      </c>
      <c r="E10" s="12">
        <f>'[4]Coal Blend'!BV103</f>
        <v>0.53333333333333333</v>
      </c>
      <c r="F10" s="12">
        <f t="shared" si="0"/>
        <v>0.46666666666666667</v>
      </c>
      <c r="G10" s="13">
        <f t="shared" si="1"/>
        <v>0</v>
      </c>
      <c r="H10" s="13">
        <f t="shared" si="2"/>
        <v>0</v>
      </c>
      <c r="I10" s="13">
        <f t="shared" si="3"/>
        <v>0</v>
      </c>
    </row>
    <row r="11" spans="2:9" x14ac:dyDescent="0.25">
      <c r="B11" s="9">
        <v>8</v>
      </c>
      <c r="C11" s="10">
        <f>'[4]Estimasi NPHR'!C11</f>
        <v>4433.5166162698406</v>
      </c>
      <c r="D11" s="11">
        <f>'[4]Estimasi NPHR'!D11</f>
        <v>0</v>
      </c>
      <c r="E11" s="12">
        <f>'[4]Coal Blend'!BV119</f>
        <v>0.7416666666666667</v>
      </c>
      <c r="F11" s="12">
        <f t="shared" si="0"/>
        <v>0.2583333333333333</v>
      </c>
      <c r="G11" s="13">
        <f t="shared" si="1"/>
        <v>0</v>
      </c>
      <c r="H11" s="13">
        <f t="shared" si="2"/>
        <v>0</v>
      </c>
      <c r="I11" s="13">
        <f t="shared" si="3"/>
        <v>0</v>
      </c>
    </row>
    <row r="12" spans="2:9" x14ac:dyDescent="0.25">
      <c r="B12" s="9">
        <v>9</v>
      </c>
      <c r="C12" s="10">
        <f>'[4]Estimasi NPHR'!C12</f>
        <v>4518.4326347765009</v>
      </c>
      <c r="D12" s="11">
        <f>'[4]Estimasi NPHR'!D12</f>
        <v>0</v>
      </c>
      <c r="E12" s="12">
        <f>'[4]Coal Blend'!BV135</f>
        <v>0.78333333333333321</v>
      </c>
      <c r="F12" s="12">
        <f t="shared" si="0"/>
        <v>0.21666666666666679</v>
      </c>
      <c r="G12" s="13">
        <f t="shared" si="1"/>
        <v>0</v>
      </c>
      <c r="H12" s="13">
        <f t="shared" si="2"/>
        <v>0</v>
      </c>
      <c r="I12" s="13">
        <f t="shared" si="3"/>
        <v>0</v>
      </c>
    </row>
    <row r="13" spans="2:9" x14ac:dyDescent="0.25">
      <c r="B13" s="9">
        <v>10</v>
      </c>
      <c r="C13" s="10">
        <f>'[4]Estimasi NPHR'!C13</f>
        <v>4444.6236333052984</v>
      </c>
      <c r="D13" s="11">
        <f>'[4]Estimasi NPHR'!D13</f>
        <v>0</v>
      </c>
      <c r="E13" s="12">
        <f>'[4]Coal Blend'!BV151</f>
        <v>0.75</v>
      </c>
      <c r="F13" s="12">
        <f t="shared" si="0"/>
        <v>0.25</v>
      </c>
      <c r="G13" s="13">
        <f t="shared" si="1"/>
        <v>0</v>
      </c>
      <c r="H13" s="13">
        <f t="shared" si="2"/>
        <v>0</v>
      </c>
      <c r="I13" s="13">
        <f t="shared" si="3"/>
        <v>0</v>
      </c>
    </row>
    <row r="14" spans="2:9" x14ac:dyDescent="0.25">
      <c r="B14" s="9">
        <v>11</v>
      </c>
      <c r="C14" s="10">
        <f>'[4]Estimasi NPHR'!C14</f>
        <v>4429.5024800000001</v>
      </c>
      <c r="D14" s="11">
        <f>'[4]Estimasi NPHR'!D14</f>
        <v>0</v>
      </c>
      <c r="E14" s="12">
        <f>'[4]Coal Blend'!BV167</f>
        <v>0.76666666666666661</v>
      </c>
      <c r="F14" s="12">
        <f t="shared" si="0"/>
        <v>0.23333333333333339</v>
      </c>
      <c r="G14" s="13">
        <f t="shared" si="1"/>
        <v>0</v>
      </c>
      <c r="H14" s="13">
        <f t="shared" si="2"/>
        <v>0</v>
      </c>
      <c r="I14" s="13">
        <f t="shared" si="3"/>
        <v>0</v>
      </c>
    </row>
    <row r="15" spans="2:9" x14ac:dyDescent="0.25">
      <c r="B15" s="9">
        <v>12</v>
      </c>
      <c r="C15" s="10">
        <f>'[4]Estimasi NPHR'!C15</f>
        <v>4426.7258666666667</v>
      </c>
      <c r="D15" s="11">
        <f>'[4]Estimasi NPHR'!D15</f>
        <v>0</v>
      </c>
      <c r="E15" s="12">
        <f>'[4]Coal Blend'!BV183</f>
        <v>0.70000000000000007</v>
      </c>
      <c r="F15" s="12">
        <f t="shared" si="0"/>
        <v>0.29999999999999993</v>
      </c>
      <c r="G15" s="13">
        <f t="shared" si="1"/>
        <v>0</v>
      </c>
      <c r="H15" s="13">
        <f t="shared" si="2"/>
        <v>0</v>
      </c>
      <c r="I15" s="13">
        <f t="shared" si="3"/>
        <v>0</v>
      </c>
    </row>
    <row r="16" spans="2:9" x14ac:dyDescent="0.25">
      <c r="B16" s="9">
        <v>13</v>
      </c>
      <c r="C16" s="10">
        <f>'[4]Estimasi NPHR'!C16</f>
        <v>4449.3614718614726</v>
      </c>
      <c r="D16" s="11">
        <f>'[4]Estimasi NPHR'!D16</f>
        <v>0</v>
      </c>
      <c r="E16" s="12">
        <f>'[4]Coal Blend'!BV199</f>
        <v>0.76666666666666661</v>
      </c>
      <c r="F16" s="12">
        <f t="shared" si="0"/>
        <v>0.23333333333333339</v>
      </c>
      <c r="G16" s="13">
        <f t="shared" si="1"/>
        <v>0</v>
      </c>
      <c r="H16" s="13">
        <f t="shared" si="2"/>
        <v>0</v>
      </c>
      <c r="I16" s="13">
        <f t="shared" si="3"/>
        <v>0</v>
      </c>
    </row>
    <row r="17" spans="2:9" x14ac:dyDescent="0.25">
      <c r="B17" s="9">
        <v>14</v>
      </c>
      <c r="C17" s="10">
        <f>'[4]Estimasi NPHR'!C17</f>
        <v>4448.627871621622</v>
      </c>
      <c r="D17" s="11">
        <f>'[4]Estimasi NPHR'!D17</f>
        <v>0</v>
      </c>
      <c r="E17" s="12">
        <f>'[4]Coal Blend'!BV215</f>
        <v>0.76666666666666661</v>
      </c>
      <c r="F17" s="12">
        <f t="shared" si="0"/>
        <v>0.23333333333333339</v>
      </c>
      <c r="G17" s="13">
        <f t="shared" si="1"/>
        <v>0</v>
      </c>
      <c r="H17" s="13">
        <f t="shared" si="2"/>
        <v>0</v>
      </c>
      <c r="I17" s="13">
        <f t="shared" si="3"/>
        <v>0</v>
      </c>
    </row>
    <row r="18" spans="2:9" x14ac:dyDescent="0.25">
      <c r="B18" s="9">
        <v>15</v>
      </c>
      <c r="C18" s="10">
        <f>'[4]Estimasi NPHR'!C18</f>
        <v>4310.2695652173916</v>
      </c>
      <c r="D18" s="11">
        <f>'[4]Estimasi NPHR'!D18</f>
        <v>0</v>
      </c>
      <c r="E18" s="12">
        <f>'[4]Coal Blend'!BV231</f>
        <v>0.66666666666666663</v>
      </c>
      <c r="F18" s="12">
        <f t="shared" si="0"/>
        <v>0.33333333333333337</v>
      </c>
      <c r="G18" s="13">
        <f t="shared" si="1"/>
        <v>0</v>
      </c>
      <c r="H18" s="13">
        <f t="shared" si="2"/>
        <v>0</v>
      </c>
      <c r="I18" s="13">
        <f t="shared" si="3"/>
        <v>0</v>
      </c>
    </row>
    <row r="19" spans="2:9" x14ac:dyDescent="0.25">
      <c r="B19" s="9">
        <v>16</v>
      </c>
      <c r="C19" s="10">
        <f>'[4]Estimasi NPHR'!C19</f>
        <v>4580.7213965744404</v>
      </c>
      <c r="D19" s="11">
        <f>'[4]Estimasi NPHR'!D19</f>
        <v>0</v>
      </c>
      <c r="E19" s="12">
        <f>'[4]Coal Blend'!BV247</f>
        <v>0.96666666666666667</v>
      </c>
      <c r="F19" s="12">
        <f t="shared" si="0"/>
        <v>3.3333333333333326E-2</v>
      </c>
      <c r="G19" s="13">
        <f t="shared" si="1"/>
        <v>0</v>
      </c>
      <c r="H19" s="13">
        <f t="shared" si="2"/>
        <v>0</v>
      </c>
      <c r="I19" s="13">
        <f t="shared" si="3"/>
        <v>0</v>
      </c>
    </row>
    <row r="20" spans="2:9" x14ac:dyDescent="0.25">
      <c r="B20" s="9">
        <v>17</v>
      </c>
      <c r="C20" s="10">
        <f>'[4]Estimasi NPHR'!C20</f>
        <v>4544.3540903540897</v>
      </c>
      <c r="D20" s="11">
        <f>'[4]Estimasi NPHR'!D20</f>
        <v>0</v>
      </c>
      <c r="E20" s="12">
        <f>'[4]Coal Blend'!BV263</f>
        <v>1</v>
      </c>
      <c r="F20" s="12">
        <f t="shared" si="0"/>
        <v>0</v>
      </c>
      <c r="G20" s="13">
        <f t="shared" si="1"/>
        <v>0</v>
      </c>
      <c r="H20" s="13">
        <f t="shared" si="2"/>
        <v>0</v>
      </c>
      <c r="I20" s="13">
        <f t="shared" si="3"/>
        <v>0</v>
      </c>
    </row>
    <row r="21" spans="2:9" x14ac:dyDescent="0.25">
      <c r="B21" s="9">
        <v>18</v>
      </c>
      <c r="C21" s="10">
        <f>'[4]Estimasi NPHR'!C21</f>
        <v>4530.7909909909913</v>
      </c>
      <c r="D21" s="11">
        <f>'[4]Estimasi NPHR'!D21</f>
        <v>0</v>
      </c>
      <c r="E21" s="12">
        <f>'[4]Coal Blend'!BV279</f>
        <v>1</v>
      </c>
      <c r="F21" s="12">
        <f t="shared" si="0"/>
        <v>0</v>
      </c>
      <c r="G21" s="13">
        <f t="shared" si="1"/>
        <v>0</v>
      </c>
      <c r="H21" s="13">
        <f t="shared" si="2"/>
        <v>0</v>
      </c>
      <c r="I21" s="13">
        <f t="shared" si="3"/>
        <v>0</v>
      </c>
    </row>
    <row r="22" spans="2:9" x14ac:dyDescent="0.25">
      <c r="B22" s="9">
        <v>19</v>
      </c>
      <c r="C22" s="10">
        <f>'[4]Estimasi NPHR'!C22</f>
        <v>4451.5116883116889</v>
      </c>
      <c r="D22" s="11">
        <f>'[4]Estimasi NPHR'!D22</f>
        <v>0</v>
      </c>
      <c r="E22" s="12">
        <f>'[4]Coal Blend'!BV295</f>
        <v>1</v>
      </c>
      <c r="F22" s="12">
        <f t="shared" si="0"/>
        <v>0</v>
      </c>
      <c r="G22" s="13">
        <f t="shared" si="1"/>
        <v>0</v>
      </c>
      <c r="H22" s="13">
        <f t="shared" si="2"/>
        <v>0</v>
      </c>
      <c r="I22" s="13">
        <f t="shared" si="3"/>
        <v>0</v>
      </c>
    </row>
    <row r="23" spans="2:9" x14ac:dyDescent="0.25">
      <c r="B23" s="9">
        <v>20</v>
      </c>
      <c r="C23" s="10">
        <f>'[4]Estimasi NPHR'!C23</f>
        <v>4325.8764268828099</v>
      </c>
      <c r="D23" s="11">
        <f>'[4]Estimasi NPHR'!D23</f>
        <v>0</v>
      </c>
      <c r="E23" s="12">
        <f>'[4]Coal Blend'!BV311</f>
        <v>0.65</v>
      </c>
      <c r="F23" s="12">
        <f t="shared" si="0"/>
        <v>0.35</v>
      </c>
      <c r="G23" s="13">
        <f t="shared" si="1"/>
        <v>0</v>
      </c>
      <c r="H23" s="13">
        <f t="shared" si="2"/>
        <v>0</v>
      </c>
      <c r="I23" s="13">
        <f t="shared" si="3"/>
        <v>0</v>
      </c>
    </row>
    <row r="24" spans="2:9" x14ac:dyDescent="0.25">
      <c r="B24" s="9">
        <v>21</v>
      </c>
      <c r="C24" s="10">
        <f>'[4]Estimasi NPHR'!C24</f>
        <v>4396.2580952380949</v>
      </c>
      <c r="D24" s="11">
        <f>'[4]Estimasi NPHR'!D24</f>
        <v>0</v>
      </c>
      <c r="E24" s="12">
        <f>'[4]Coal Blend'!BV327</f>
        <v>0.76666666666666661</v>
      </c>
      <c r="F24" s="12">
        <f t="shared" si="0"/>
        <v>0.23333333333333339</v>
      </c>
      <c r="G24" s="13">
        <f t="shared" si="1"/>
        <v>0</v>
      </c>
      <c r="H24" s="13">
        <f t="shared" si="2"/>
        <v>0</v>
      </c>
      <c r="I24" s="13">
        <f t="shared" si="3"/>
        <v>0</v>
      </c>
    </row>
    <row r="25" spans="2:9" x14ac:dyDescent="0.25">
      <c r="B25" s="9">
        <v>22</v>
      </c>
      <c r="C25" s="10">
        <f>'[4]Estimasi NPHR'!C25</f>
        <v>4476.8462556306304</v>
      </c>
      <c r="D25" s="11">
        <f>'[4]Estimasi NPHR'!D25</f>
        <v>0</v>
      </c>
      <c r="E25" s="12">
        <f>'[4]Coal Blend'!BV343</f>
        <v>1</v>
      </c>
      <c r="F25" s="12">
        <f t="shared" si="0"/>
        <v>0</v>
      </c>
      <c r="G25" s="13">
        <f t="shared" si="1"/>
        <v>0</v>
      </c>
      <c r="H25" s="13">
        <f t="shared" si="2"/>
        <v>0</v>
      </c>
      <c r="I25" s="13">
        <f t="shared" si="3"/>
        <v>0</v>
      </c>
    </row>
    <row r="26" spans="2:9" x14ac:dyDescent="0.25">
      <c r="B26" s="9">
        <v>23</v>
      </c>
      <c r="C26" s="10">
        <f>'[4]Estimasi NPHR'!C26</f>
        <v>4368.5666666666666</v>
      </c>
      <c r="D26" s="11">
        <f>'[4]Estimasi NPHR'!D26</f>
        <v>0</v>
      </c>
      <c r="E26" s="12">
        <f>'[4]Coal Blend'!BV359</f>
        <v>0.93333333333333324</v>
      </c>
      <c r="F26" s="12">
        <f t="shared" si="0"/>
        <v>6.6666666666666763E-2</v>
      </c>
      <c r="G26" s="13">
        <f t="shared" si="1"/>
        <v>0</v>
      </c>
      <c r="H26" s="13">
        <f t="shared" si="2"/>
        <v>0</v>
      </c>
      <c r="I26" s="13">
        <f t="shared" si="3"/>
        <v>0</v>
      </c>
    </row>
    <row r="27" spans="2:9" x14ac:dyDescent="0.25">
      <c r="B27" s="9">
        <v>24</v>
      </c>
      <c r="C27" s="10">
        <f>'[4]Estimasi NPHR'!C27</f>
        <v>4435.1892113207541</v>
      </c>
      <c r="D27" s="11">
        <f>'[4]Estimasi NPHR'!D27</f>
        <v>0</v>
      </c>
      <c r="E27" s="12">
        <f>'[4]Coal Blend'!BV375</f>
        <v>0.75</v>
      </c>
      <c r="F27" s="12">
        <f t="shared" si="0"/>
        <v>0.25</v>
      </c>
      <c r="G27" s="13">
        <f t="shared" si="1"/>
        <v>0</v>
      </c>
      <c r="H27" s="13">
        <f t="shared" si="2"/>
        <v>0</v>
      </c>
      <c r="I27" s="13">
        <f t="shared" si="3"/>
        <v>0</v>
      </c>
    </row>
    <row r="28" spans="2:9" x14ac:dyDescent="0.25">
      <c r="B28" s="9">
        <v>25</v>
      </c>
      <c r="C28" s="10">
        <f>'[4]Estimasi NPHR'!C28</f>
        <v>4441.7499850588983</v>
      </c>
      <c r="D28" s="11">
        <f>'[4]Estimasi NPHR'!D28</f>
        <v>0</v>
      </c>
      <c r="E28" s="12">
        <f>'[4]Coal Blend'!BV391</f>
        <v>0.58333333333333337</v>
      </c>
      <c r="F28" s="12">
        <f t="shared" si="0"/>
        <v>0.41666666666666663</v>
      </c>
      <c r="G28" s="13">
        <f t="shared" si="1"/>
        <v>0</v>
      </c>
      <c r="H28" s="13">
        <f t="shared" si="2"/>
        <v>0</v>
      </c>
      <c r="I28" s="13">
        <f t="shared" si="3"/>
        <v>0</v>
      </c>
    </row>
    <row r="29" spans="2:9" x14ac:dyDescent="0.25">
      <c r="B29" s="9">
        <v>26</v>
      </c>
      <c r="C29" s="10">
        <f>'[4]Estimasi NPHR'!C29</f>
        <v>4413.9728897715986</v>
      </c>
      <c r="D29" s="11">
        <f>'[4]Estimasi NPHR'!D29</f>
        <v>0</v>
      </c>
      <c r="E29" s="12">
        <f>'[4]Coal Blend'!BV407</f>
        <v>0.51666666666666672</v>
      </c>
      <c r="F29" s="12">
        <f t="shared" si="0"/>
        <v>0.48333333333333328</v>
      </c>
      <c r="G29" s="13">
        <f t="shared" si="1"/>
        <v>0</v>
      </c>
      <c r="H29" s="13">
        <f t="shared" si="2"/>
        <v>0</v>
      </c>
      <c r="I29" s="13">
        <f t="shared" si="3"/>
        <v>0</v>
      </c>
    </row>
    <row r="30" spans="2:9" x14ac:dyDescent="0.25">
      <c r="B30" s="9">
        <v>27</v>
      </c>
      <c r="C30" s="10">
        <f>'[4]Estimasi NPHR'!C30</f>
        <v>4346.333333333333</v>
      </c>
      <c r="D30" s="11">
        <f>'[4]Estimasi NPHR'!D30</f>
        <v>0</v>
      </c>
      <c r="E30" s="12">
        <f>'[4]Coal Blend'!BV423</f>
        <v>0.5</v>
      </c>
      <c r="F30" s="12">
        <f t="shared" si="0"/>
        <v>0.5</v>
      </c>
      <c r="G30" s="13">
        <f t="shared" si="1"/>
        <v>0</v>
      </c>
      <c r="H30" s="13">
        <f t="shared" si="2"/>
        <v>0</v>
      </c>
      <c r="I30" s="13">
        <f t="shared" si="3"/>
        <v>0</v>
      </c>
    </row>
    <row r="31" spans="2:9" x14ac:dyDescent="0.25">
      <c r="B31" s="9">
        <v>28</v>
      </c>
      <c r="C31" s="10">
        <f>'[4]Estimasi NPHR'!C31</f>
        <v>4411.7962666666672</v>
      </c>
      <c r="D31" s="11">
        <f>'[4]Estimasi NPHR'!D31</f>
        <v>0</v>
      </c>
      <c r="E31" s="12">
        <f>'[4]Coal Blend'!BV439</f>
        <v>0.69999999999999984</v>
      </c>
      <c r="F31" s="12">
        <f t="shared" si="0"/>
        <v>0.30000000000000016</v>
      </c>
      <c r="G31" s="13">
        <f t="shared" si="1"/>
        <v>0</v>
      </c>
      <c r="H31" s="13">
        <f t="shared" si="2"/>
        <v>0</v>
      </c>
      <c r="I31" s="13">
        <f t="shared" si="3"/>
        <v>0</v>
      </c>
    </row>
    <row r="32" spans="2:9" x14ac:dyDescent="0.25">
      <c r="B32" s="9">
        <v>29</v>
      </c>
      <c r="C32" s="10">
        <f>'[4]Estimasi NPHR'!C32</f>
        <v>4398.7667666666666</v>
      </c>
      <c r="D32" s="11">
        <f>'[4]Estimasi NPHR'!D32</f>
        <v>0</v>
      </c>
      <c r="E32" s="12">
        <f>'[4]Coal Blend'!BV455</f>
        <v>0.6</v>
      </c>
      <c r="F32" s="12">
        <f t="shared" si="0"/>
        <v>0.4</v>
      </c>
      <c r="G32" s="13">
        <f t="shared" si="1"/>
        <v>0</v>
      </c>
      <c r="H32" s="13">
        <f t="shared" si="2"/>
        <v>0</v>
      </c>
      <c r="I32" s="13">
        <f t="shared" si="3"/>
        <v>0</v>
      </c>
    </row>
    <row r="33" spans="2:9" ht="15.75" thickBot="1" x14ac:dyDescent="0.3">
      <c r="B33" s="9">
        <v>30</v>
      </c>
      <c r="C33" s="10">
        <f>'[4]Estimasi NPHR'!C33</f>
        <v>4373.3656947368427</v>
      </c>
      <c r="D33" s="11">
        <f>'[4]Estimasi NPHR'!D33</f>
        <v>0</v>
      </c>
      <c r="E33" s="12">
        <f>'[4]Coal Blend'!BV471</f>
        <v>0.6</v>
      </c>
      <c r="F33" s="12">
        <f t="shared" si="0"/>
        <v>0.4</v>
      </c>
      <c r="G33" s="13">
        <f t="shared" si="1"/>
        <v>0</v>
      </c>
      <c r="H33" s="13">
        <f t="shared" si="2"/>
        <v>0</v>
      </c>
      <c r="I33" s="13">
        <f t="shared" si="3"/>
        <v>0</v>
      </c>
    </row>
    <row r="34" spans="2:9" ht="15.75" thickBot="1" x14ac:dyDescent="0.3">
      <c r="B34" s="14"/>
      <c r="C34" s="15">
        <f>IF(D34=0,0,I34/D34)</f>
        <v>0</v>
      </c>
      <c r="D34" s="16">
        <f>SUM(D4:D33)</f>
        <v>0</v>
      </c>
      <c r="E34" s="16"/>
      <c r="F34" s="16"/>
      <c r="G34" s="16">
        <f>SUM(G4:G33)</f>
        <v>0</v>
      </c>
      <c r="H34" s="16">
        <f>SUM(H4:H33)</f>
        <v>0</v>
      </c>
      <c r="I34" s="17">
        <f>SUM(I4:I33)</f>
        <v>0</v>
      </c>
    </row>
    <row r="35" spans="2:9" x14ac:dyDescent="0.25">
      <c r="D35" s="18">
        <f>MAX(D4:D33)</f>
        <v>0</v>
      </c>
    </row>
  </sheetData>
  <mergeCells count="2">
    <mergeCell ref="B2:B3"/>
    <mergeCell ref="C2:I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32926-E00C-48BD-A3A8-C6BF74240FF6}">
  <dimension ref="B1:I35"/>
  <sheetViews>
    <sheetView workbookViewId="0">
      <selection activeCell="G36" sqref="G36"/>
    </sheetView>
  </sheetViews>
  <sheetFormatPr defaultRowHeight="15" x14ac:dyDescent="0.25"/>
  <cols>
    <col min="2" max="2" width="8.5703125" bestFit="1" customWidth="1"/>
    <col min="3" max="3" width="9.5703125" bestFit="1" customWidth="1"/>
    <col min="4" max="4" width="11.5703125" bestFit="1" customWidth="1"/>
    <col min="5" max="6" width="5.5703125" bestFit="1" customWidth="1"/>
    <col min="7" max="8" width="10.5703125" bestFit="1" customWidth="1"/>
    <col min="9" max="9" width="12.5703125" bestFit="1" customWidth="1"/>
  </cols>
  <sheetData>
    <row r="1" spans="2:9" ht="15.75" thickBot="1" x14ac:dyDescent="0.3"/>
    <row r="2" spans="2:9" ht="16.5" thickBot="1" x14ac:dyDescent="0.3">
      <c r="B2" s="1" t="s">
        <v>6</v>
      </c>
      <c r="C2" s="2" t="s">
        <v>5</v>
      </c>
      <c r="D2" s="3"/>
      <c r="E2" s="3"/>
      <c r="F2" s="3"/>
      <c r="G2" s="3"/>
      <c r="H2" s="3"/>
      <c r="I2" s="4"/>
    </row>
    <row r="3" spans="2:9" ht="16.5" thickBot="1" x14ac:dyDescent="0.3">
      <c r="B3" s="5"/>
      <c r="C3" s="6" t="s">
        <v>4</v>
      </c>
      <c r="D3" s="7" t="s">
        <v>0</v>
      </c>
      <c r="E3" s="8" t="s">
        <v>1</v>
      </c>
      <c r="F3" s="8" t="s">
        <v>2</v>
      </c>
      <c r="G3" s="8" t="s">
        <v>1</v>
      </c>
      <c r="H3" s="8" t="s">
        <v>2</v>
      </c>
      <c r="I3" s="8" t="s">
        <v>3</v>
      </c>
    </row>
    <row r="4" spans="2:9" x14ac:dyDescent="0.25">
      <c r="B4" s="9">
        <v>1</v>
      </c>
      <c r="C4" s="10">
        <f>'[5]Estimasi NPHR'!C4</f>
        <v>4343.4722730300336</v>
      </c>
      <c r="D4" s="11">
        <f>'[5]Estimasi NPHR'!D4</f>
        <v>0</v>
      </c>
      <c r="E4" s="12">
        <f>'[5]Coal Blend'!BV7</f>
        <v>0.6</v>
      </c>
      <c r="F4" s="12">
        <f>1-E4</f>
        <v>0.4</v>
      </c>
      <c r="G4" s="13">
        <f>_xlfn.IFNA(E4*D4,0)</f>
        <v>0</v>
      </c>
      <c r="H4" s="13">
        <f>_xlfn.IFNA(F4*D4,0)</f>
        <v>0</v>
      </c>
      <c r="I4" s="13">
        <f>C4*D4</f>
        <v>0</v>
      </c>
    </row>
    <row r="5" spans="2:9" x14ac:dyDescent="0.25">
      <c r="B5" s="9">
        <v>2</v>
      </c>
      <c r="C5" s="10">
        <f>'[5]Estimasi NPHR'!C5</f>
        <v>4421.5252312599687</v>
      </c>
      <c r="D5" s="11">
        <f>'[5]Estimasi NPHR'!D5</f>
        <v>0</v>
      </c>
      <c r="E5" s="12">
        <f>'[5]Coal Blend'!BV23</f>
        <v>0.73333333333333339</v>
      </c>
      <c r="F5" s="12">
        <f t="shared" ref="F5:F33" si="0">1-E5</f>
        <v>0.26666666666666661</v>
      </c>
      <c r="G5" s="13">
        <f t="shared" ref="G5:G33" si="1">_xlfn.IFNA(E5*D5,0)</f>
        <v>0</v>
      </c>
      <c r="H5" s="13">
        <f t="shared" ref="H5:H33" si="2">_xlfn.IFNA(F5*D5,0)</f>
        <v>0</v>
      </c>
      <c r="I5" s="13">
        <f t="shared" ref="I5:I33" si="3">C5*D5</f>
        <v>0</v>
      </c>
    </row>
    <row r="6" spans="2:9" x14ac:dyDescent="0.25">
      <c r="B6" s="9">
        <v>3</v>
      </c>
      <c r="C6" s="10">
        <f>'[5]Estimasi NPHR'!C6</f>
        <v>3798.4915480592231</v>
      </c>
      <c r="D6" s="11">
        <f>'[5]Estimasi NPHR'!D6</f>
        <v>0</v>
      </c>
      <c r="E6" s="12">
        <f>'[5]Coal Blend'!BV39</f>
        <v>0.75</v>
      </c>
      <c r="F6" s="12">
        <f t="shared" si="0"/>
        <v>0.25</v>
      </c>
      <c r="G6" s="13">
        <f t="shared" si="1"/>
        <v>0</v>
      </c>
      <c r="H6" s="13">
        <f t="shared" si="2"/>
        <v>0</v>
      </c>
      <c r="I6" s="13">
        <f t="shared" si="3"/>
        <v>0</v>
      </c>
    </row>
    <row r="7" spans="2:9" x14ac:dyDescent="0.25">
      <c r="B7" s="9">
        <v>4</v>
      </c>
      <c r="C7" s="10">
        <f>'[5]Estimasi NPHR'!C7</f>
        <v>4414.5210895522387</v>
      </c>
      <c r="D7" s="11">
        <f>'[5]Estimasi NPHR'!D7</f>
        <v>0</v>
      </c>
      <c r="E7" s="12">
        <f>'[5]Coal Blend'!BV55</f>
        <v>0.66666666666666663</v>
      </c>
      <c r="F7" s="12">
        <f t="shared" si="0"/>
        <v>0.33333333333333337</v>
      </c>
      <c r="G7" s="13">
        <f t="shared" si="1"/>
        <v>0</v>
      </c>
      <c r="H7" s="13">
        <f t="shared" si="2"/>
        <v>0</v>
      </c>
      <c r="I7" s="13">
        <f t="shared" si="3"/>
        <v>0</v>
      </c>
    </row>
    <row r="8" spans="2:9" x14ac:dyDescent="0.25">
      <c r="B8" s="9">
        <v>5</v>
      </c>
      <c r="C8" s="10">
        <f>'[5]Estimasi NPHR'!C8</f>
        <v>4544.8011358024696</v>
      </c>
      <c r="D8" s="11">
        <f>'[5]Estimasi NPHR'!D8</f>
        <v>0</v>
      </c>
      <c r="E8" s="12">
        <f>'[5]Coal Blend'!BV71</f>
        <v>0.95000000000000007</v>
      </c>
      <c r="F8" s="12">
        <f t="shared" si="0"/>
        <v>4.9999999999999933E-2</v>
      </c>
      <c r="G8" s="13">
        <f t="shared" si="1"/>
        <v>0</v>
      </c>
      <c r="H8" s="13">
        <f t="shared" si="2"/>
        <v>0</v>
      </c>
      <c r="I8" s="13">
        <f t="shared" si="3"/>
        <v>0</v>
      </c>
    </row>
    <row r="9" spans="2:9" x14ac:dyDescent="0.25">
      <c r="B9" s="9">
        <v>6</v>
      </c>
      <c r="C9" s="10">
        <f>'[5]Estimasi NPHR'!C9</f>
        <v>4411.7663643235073</v>
      </c>
      <c r="D9" s="11">
        <f>'[5]Estimasi NPHR'!D9</f>
        <v>0</v>
      </c>
      <c r="E9" s="12">
        <f>'[5]Coal Blend'!BV87</f>
        <v>0.94999999999999984</v>
      </c>
      <c r="F9" s="12">
        <f t="shared" si="0"/>
        <v>5.0000000000000155E-2</v>
      </c>
      <c r="G9" s="13">
        <f t="shared" si="1"/>
        <v>0</v>
      </c>
      <c r="H9" s="13">
        <f t="shared" si="2"/>
        <v>0</v>
      </c>
      <c r="I9" s="13">
        <f t="shared" si="3"/>
        <v>0</v>
      </c>
    </row>
    <row r="10" spans="2:9" x14ac:dyDescent="0.25">
      <c r="B10" s="9">
        <v>7</v>
      </c>
      <c r="C10" s="10">
        <f>'[5]Estimasi NPHR'!C10</f>
        <v>4463.6129440000004</v>
      </c>
      <c r="D10" s="11">
        <f>'[5]Estimasi NPHR'!D10</f>
        <v>0</v>
      </c>
      <c r="E10" s="12">
        <f>'[5]Coal Blend'!BV103</f>
        <v>0.98333333333333339</v>
      </c>
      <c r="F10" s="12">
        <f t="shared" si="0"/>
        <v>1.6666666666666607E-2</v>
      </c>
      <c r="G10" s="13">
        <f t="shared" si="1"/>
        <v>0</v>
      </c>
      <c r="H10" s="13">
        <f t="shared" si="2"/>
        <v>0</v>
      </c>
      <c r="I10" s="13">
        <f t="shared" si="3"/>
        <v>0</v>
      </c>
    </row>
    <row r="11" spans="2:9" x14ac:dyDescent="0.25">
      <c r="B11" s="9">
        <v>8</v>
      </c>
      <c r="C11" s="10">
        <f>'[5]Estimasi NPHR'!C11</f>
        <v>4464.5633333333326</v>
      </c>
      <c r="D11" s="11">
        <f>'[5]Estimasi NPHR'!D11</f>
        <v>0</v>
      </c>
      <c r="E11" s="12">
        <f>'[5]Coal Blend'!BV119</f>
        <v>1</v>
      </c>
      <c r="F11" s="12">
        <f t="shared" si="0"/>
        <v>0</v>
      </c>
      <c r="G11" s="13">
        <f t="shared" si="1"/>
        <v>0</v>
      </c>
      <c r="H11" s="13">
        <f t="shared" si="2"/>
        <v>0</v>
      </c>
      <c r="I11" s="13">
        <f t="shared" si="3"/>
        <v>0</v>
      </c>
    </row>
    <row r="12" spans="2:9" x14ac:dyDescent="0.25">
      <c r="B12" s="9">
        <v>9</v>
      </c>
      <c r="C12" s="10">
        <f>'[5]Estimasi NPHR'!C12</f>
        <v>4421.9460093896714</v>
      </c>
      <c r="D12" s="11">
        <f>'[5]Estimasi NPHR'!D12</f>
        <v>0</v>
      </c>
      <c r="E12" s="12">
        <f>'[5]Coal Blend'!BV135</f>
        <v>0.84444444444444444</v>
      </c>
      <c r="F12" s="12">
        <f t="shared" si="0"/>
        <v>0.15555555555555556</v>
      </c>
      <c r="G12" s="13">
        <f t="shared" si="1"/>
        <v>0</v>
      </c>
      <c r="H12" s="13">
        <f t="shared" si="2"/>
        <v>0</v>
      </c>
      <c r="I12" s="13">
        <f t="shared" si="3"/>
        <v>0</v>
      </c>
    </row>
    <row r="13" spans="2:9" x14ac:dyDescent="0.25">
      <c r="B13" s="9">
        <v>10</v>
      </c>
      <c r="C13" s="10">
        <f>'[5]Estimasi NPHR'!C13</f>
        <v>4439.2463042853042</v>
      </c>
      <c r="D13" s="11">
        <f>'[5]Estimasi NPHR'!D13</f>
        <v>0</v>
      </c>
      <c r="E13" s="12">
        <f>'[5]Coal Blend'!BV151</f>
        <v>0.71666666666666667</v>
      </c>
      <c r="F13" s="12">
        <f t="shared" si="0"/>
        <v>0.28333333333333333</v>
      </c>
      <c r="G13" s="13">
        <f t="shared" si="1"/>
        <v>0</v>
      </c>
      <c r="H13" s="13">
        <f t="shared" si="2"/>
        <v>0</v>
      </c>
      <c r="I13" s="13">
        <f t="shared" si="3"/>
        <v>0</v>
      </c>
    </row>
    <row r="14" spans="2:9" x14ac:dyDescent="0.25">
      <c r="B14" s="9">
        <v>11</v>
      </c>
      <c r="C14" s="10">
        <f>'[5]Estimasi NPHR'!C14</f>
        <v>4440.5691102756891</v>
      </c>
      <c r="D14" s="11">
        <f>'[5]Estimasi NPHR'!D14</f>
        <v>0</v>
      </c>
      <c r="E14" s="12">
        <f>'[5]Coal Blend'!BV167</f>
        <v>0.8666666666666667</v>
      </c>
      <c r="F14" s="12">
        <f t="shared" si="0"/>
        <v>0.1333333333333333</v>
      </c>
      <c r="G14" s="13">
        <f t="shared" si="1"/>
        <v>0</v>
      </c>
      <c r="H14" s="13">
        <f t="shared" si="2"/>
        <v>0</v>
      </c>
      <c r="I14" s="13">
        <f t="shared" si="3"/>
        <v>0</v>
      </c>
    </row>
    <row r="15" spans="2:9" x14ac:dyDescent="0.25">
      <c r="B15" s="9">
        <v>12</v>
      </c>
      <c r="C15" s="10">
        <f>'[5]Estimasi NPHR'!C15</f>
        <v>4428.0980392156862</v>
      </c>
      <c r="D15" s="11">
        <f>'[5]Estimasi NPHR'!D15</f>
        <v>0</v>
      </c>
      <c r="E15" s="12">
        <f>'[5]Coal Blend'!BV183</f>
        <v>0.79999999999999993</v>
      </c>
      <c r="F15" s="12">
        <f t="shared" si="0"/>
        <v>0.20000000000000007</v>
      </c>
      <c r="G15" s="13">
        <f t="shared" si="1"/>
        <v>0</v>
      </c>
      <c r="H15" s="13">
        <f t="shared" si="2"/>
        <v>0</v>
      </c>
      <c r="I15" s="13">
        <f t="shared" si="3"/>
        <v>0</v>
      </c>
    </row>
    <row r="16" spans="2:9" x14ac:dyDescent="0.25">
      <c r="B16" s="9">
        <v>13</v>
      </c>
      <c r="C16" s="10">
        <f>'[5]Estimasi NPHR'!C16</f>
        <v>4284</v>
      </c>
      <c r="D16" s="11">
        <f>'[5]Estimasi NPHR'!D16</f>
        <v>0</v>
      </c>
      <c r="E16" s="12">
        <f>'[5]Coal Blend'!BV199</f>
        <v>0.53333333333333333</v>
      </c>
      <c r="F16" s="12">
        <f t="shared" si="0"/>
        <v>0.46666666666666667</v>
      </c>
      <c r="G16" s="13">
        <f t="shared" si="1"/>
        <v>0</v>
      </c>
      <c r="H16" s="13">
        <f t="shared" si="2"/>
        <v>0</v>
      </c>
      <c r="I16" s="13">
        <f t="shared" si="3"/>
        <v>0</v>
      </c>
    </row>
    <row r="17" spans="2:9" x14ac:dyDescent="0.25">
      <c r="B17" s="9">
        <v>14</v>
      </c>
      <c r="C17" s="10">
        <f>'[5]Estimasi NPHR'!C17</f>
        <v>4277.3504979769687</v>
      </c>
      <c r="D17" s="11">
        <f>'[5]Estimasi NPHR'!D17</f>
        <v>0</v>
      </c>
      <c r="E17" s="12">
        <f>'[5]Coal Blend'!BV215</f>
        <v>0.58333333333333337</v>
      </c>
      <c r="F17" s="12">
        <f t="shared" si="0"/>
        <v>0.41666666666666663</v>
      </c>
      <c r="G17" s="13">
        <f t="shared" si="1"/>
        <v>0</v>
      </c>
      <c r="H17" s="13">
        <f t="shared" si="2"/>
        <v>0</v>
      </c>
      <c r="I17" s="13">
        <f t="shared" si="3"/>
        <v>0</v>
      </c>
    </row>
    <row r="18" spans="2:9" x14ac:dyDescent="0.25">
      <c r="B18" s="9">
        <v>15</v>
      </c>
      <c r="C18" s="10">
        <f>'[5]Estimasi NPHR'!C18</f>
        <v>4253.6325621712103</v>
      </c>
      <c r="D18" s="11">
        <f>'[5]Estimasi NPHR'!D18</f>
        <v>0</v>
      </c>
      <c r="E18" s="12">
        <f>'[5]Coal Blend'!BV231</f>
        <v>0.53333333333333333</v>
      </c>
      <c r="F18" s="12">
        <f t="shared" si="0"/>
        <v>0.46666666666666667</v>
      </c>
      <c r="G18" s="13">
        <f t="shared" si="1"/>
        <v>0</v>
      </c>
      <c r="H18" s="13">
        <f t="shared" si="2"/>
        <v>0</v>
      </c>
      <c r="I18" s="13">
        <f t="shared" si="3"/>
        <v>0</v>
      </c>
    </row>
    <row r="19" spans="2:9" x14ac:dyDescent="0.25">
      <c r="B19" s="9">
        <v>16</v>
      </c>
      <c r="C19" s="10">
        <f>'[5]Estimasi NPHR'!C19</f>
        <v>4302.12</v>
      </c>
      <c r="D19" s="11">
        <f>'[5]Estimasi NPHR'!D19</f>
        <v>0</v>
      </c>
      <c r="E19" s="12">
        <f>'[5]Coal Blend'!BV247</f>
        <v>0.65</v>
      </c>
      <c r="F19" s="12">
        <f t="shared" si="0"/>
        <v>0.35</v>
      </c>
      <c r="G19" s="13">
        <f t="shared" si="1"/>
        <v>0</v>
      </c>
      <c r="H19" s="13">
        <f t="shared" si="2"/>
        <v>0</v>
      </c>
      <c r="I19" s="13">
        <f t="shared" si="3"/>
        <v>0</v>
      </c>
    </row>
    <row r="20" spans="2:9" x14ac:dyDescent="0.25">
      <c r="B20" s="9">
        <v>17</v>
      </c>
      <c r="C20" s="10">
        <f>'[5]Estimasi NPHR'!C20</f>
        <v>4318.5089026915111</v>
      </c>
      <c r="D20" s="11">
        <f>'[5]Estimasi NPHR'!D20</f>
        <v>0</v>
      </c>
      <c r="E20" s="12">
        <f>'[5]Coal Blend'!BV263</f>
        <v>0.5</v>
      </c>
      <c r="F20" s="12">
        <f t="shared" si="0"/>
        <v>0.5</v>
      </c>
      <c r="G20" s="13">
        <f t="shared" si="1"/>
        <v>0</v>
      </c>
      <c r="H20" s="13">
        <f t="shared" si="2"/>
        <v>0</v>
      </c>
      <c r="I20" s="13">
        <f t="shared" si="3"/>
        <v>0</v>
      </c>
    </row>
    <row r="21" spans="2:9" x14ac:dyDescent="0.25">
      <c r="B21" s="9">
        <v>18</v>
      </c>
      <c r="C21" s="10">
        <f>'[5]Estimasi NPHR'!C21</f>
        <v>4343.7997777777782</v>
      </c>
      <c r="D21" s="11">
        <f>'[5]Estimasi NPHR'!D21</f>
        <v>0</v>
      </c>
      <c r="E21" s="12">
        <f>'[5]Coal Blend'!BV279</f>
        <v>0.76666666666666661</v>
      </c>
      <c r="F21" s="12">
        <f t="shared" si="0"/>
        <v>0.23333333333333339</v>
      </c>
      <c r="G21" s="13">
        <f t="shared" si="1"/>
        <v>0</v>
      </c>
      <c r="H21" s="13">
        <f t="shared" si="2"/>
        <v>0</v>
      </c>
      <c r="I21" s="13">
        <f t="shared" si="3"/>
        <v>0</v>
      </c>
    </row>
    <row r="22" spans="2:9" x14ac:dyDescent="0.25">
      <c r="B22" s="9">
        <v>19</v>
      </c>
      <c r="C22" s="10">
        <f>'[5]Estimasi NPHR'!C22</f>
        <v>4447.1533333333327</v>
      </c>
      <c r="D22" s="11">
        <f>'[5]Estimasi NPHR'!D22</f>
        <v>0</v>
      </c>
      <c r="E22" s="12">
        <f>'[5]Coal Blend'!BV295</f>
        <v>0.6</v>
      </c>
      <c r="F22" s="12">
        <f t="shared" si="0"/>
        <v>0.4</v>
      </c>
      <c r="G22" s="13">
        <f t="shared" si="1"/>
        <v>0</v>
      </c>
      <c r="H22" s="13">
        <f t="shared" si="2"/>
        <v>0</v>
      </c>
      <c r="I22" s="13">
        <f t="shared" si="3"/>
        <v>0</v>
      </c>
    </row>
    <row r="23" spans="2:9" x14ac:dyDescent="0.25">
      <c r="B23" s="9">
        <v>20</v>
      </c>
      <c r="C23" s="10">
        <f>'[5]Estimasi NPHR'!C23</f>
        <v>4572</v>
      </c>
      <c r="D23" s="11">
        <f>'[5]Estimasi NPHR'!D23</f>
        <v>0</v>
      </c>
      <c r="E23" s="12">
        <f>'[5]Coal Blend'!BV311</f>
        <v>0.83333333333333337</v>
      </c>
      <c r="F23" s="12">
        <f t="shared" si="0"/>
        <v>0.16666666666666663</v>
      </c>
      <c r="G23" s="13">
        <f t="shared" si="1"/>
        <v>0</v>
      </c>
      <c r="H23" s="13">
        <f t="shared" si="2"/>
        <v>0</v>
      </c>
      <c r="I23" s="13">
        <f t="shared" si="3"/>
        <v>0</v>
      </c>
    </row>
    <row r="24" spans="2:9" x14ac:dyDescent="0.25">
      <c r="B24" s="9">
        <v>21</v>
      </c>
      <c r="C24" s="10">
        <f>'[5]Estimasi NPHR'!C24</f>
        <v>4422.7451496030444</v>
      </c>
      <c r="D24" s="11">
        <f>'[5]Estimasi NPHR'!D24</f>
        <v>0</v>
      </c>
      <c r="E24" s="12">
        <f>'[5]Coal Blend'!BV327</f>
        <v>0.63333333333333341</v>
      </c>
      <c r="F24" s="12">
        <f t="shared" si="0"/>
        <v>0.36666666666666659</v>
      </c>
      <c r="G24" s="13">
        <f t="shared" si="1"/>
        <v>0</v>
      </c>
      <c r="H24" s="13">
        <f t="shared" si="2"/>
        <v>0</v>
      </c>
      <c r="I24" s="13">
        <f t="shared" si="3"/>
        <v>0</v>
      </c>
    </row>
    <row r="25" spans="2:9" x14ac:dyDescent="0.25">
      <c r="B25" s="9">
        <v>22</v>
      </c>
      <c r="C25" s="10">
        <f>'[5]Estimasi NPHR'!C25</f>
        <v>4388.7333333333336</v>
      </c>
      <c r="D25" s="11">
        <f>'[5]Estimasi NPHR'!D25</f>
        <v>0</v>
      </c>
      <c r="E25" s="12">
        <f>'[5]Coal Blend'!BV343</f>
        <v>0.6</v>
      </c>
      <c r="F25" s="12">
        <f t="shared" si="0"/>
        <v>0.4</v>
      </c>
      <c r="G25" s="13">
        <f t="shared" si="1"/>
        <v>0</v>
      </c>
      <c r="H25" s="13">
        <f t="shared" si="2"/>
        <v>0</v>
      </c>
      <c r="I25" s="13">
        <f t="shared" si="3"/>
        <v>0</v>
      </c>
    </row>
    <row r="26" spans="2:9" x14ac:dyDescent="0.25">
      <c r="B26" s="9">
        <v>23</v>
      </c>
      <c r="C26" s="10">
        <f>'[5]Estimasi NPHR'!C26</f>
        <v>3466.4166666666665</v>
      </c>
      <c r="D26" s="11">
        <f>'[5]Estimasi NPHR'!D26</f>
        <v>0</v>
      </c>
      <c r="E26" s="12">
        <f>'[5]Coal Blend'!BV359</f>
        <v>0.6</v>
      </c>
      <c r="F26" s="12">
        <f t="shared" si="0"/>
        <v>0.4</v>
      </c>
      <c r="G26" s="13">
        <f t="shared" si="1"/>
        <v>0</v>
      </c>
      <c r="H26" s="13">
        <f t="shared" si="2"/>
        <v>0</v>
      </c>
      <c r="I26" s="13">
        <f t="shared" si="3"/>
        <v>0</v>
      </c>
    </row>
    <row r="27" spans="2:9" x14ac:dyDescent="0.25">
      <c r="B27" s="9">
        <v>24</v>
      </c>
      <c r="C27" s="10">
        <f>'[5]Estimasi NPHR'!C27</f>
        <v>2840.5034632034635</v>
      </c>
      <c r="D27" s="11">
        <f>'[5]Estimasi NPHR'!D27</f>
        <v>0</v>
      </c>
      <c r="E27" s="12">
        <f>'[5]Coal Blend'!BV375</f>
        <v>0.66666666666666663</v>
      </c>
      <c r="F27" s="12">
        <f t="shared" si="0"/>
        <v>0.33333333333333337</v>
      </c>
      <c r="G27" s="13">
        <f t="shared" si="1"/>
        <v>0</v>
      </c>
      <c r="H27" s="13">
        <f t="shared" si="2"/>
        <v>0</v>
      </c>
      <c r="I27" s="13">
        <f t="shared" si="3"/>
        <v>0</v>
      </c>
    </row>
    <row r="28" spans="2:9" x14ac:dyDescent="0.25">
      <c r="B28" s="9">
        <v>25</v>
      </c>
      <c r="C28" s="10">
        <f>'[5]Estimasi NPHR'!C28</f>
        <v>2545.6268055555561</v>
      </c>
      <c r="D28" s="11">
        <f>'[5]Estimasi NPHR'!D28</f>
        <v>0</v>
      </c>
      <c r="E28" s="12">
        <f>'[5]Coal Blend'!BV391</f>
        <v>0.68333333333333324</v>
      </c>
      <c r="F28" s="12">
        <f t="shared" si="0"/>
        <v>0.31666666666666676</v>
      </c>
      <c r="G28" s="13">
        <f t="shared" si="1"/>
        <v>0</v>
      </c>
      <c r="H28" s="13">
        <f t="shared" si="2"/>
        <v>0</v>
      </c>
      <c r="I28" s="13">
        <f t="shared" si="3"/>
        <v>0</v>
      </c>
    </row>
    <row r="29" spans="2:9" x14ac:dyDescent="0.25">
      <c r="B29" s="9">
        <v>26</v>
      </c>
      <c r="C29" s="10">
        <f>'[5]Estimasi NPHR'!C29</f>
        <v>4314.2000000000007</v>
      </c>
      <c r="D29" s="11">
        <f>'[5]Estimasi NPHR'!D29</f>
        <v>0</v>
      </c>
      <c r="E29" s="12">
        <f>'[5]Coal Blend'!BV407</f>
        <v>0.6</v>
      </c>
      <c r="F29" s="12">
        <f t="shared" si="0"/>
        <v>0.4</v>
      </c>
      <c r="G29" s="13">
        <f t="shared" si="1"/>
        <v>0</v>
      </c>
      <c r="H29" s="13">
        <f t="shared" si="2"/>
        <v>0</v>
      </c>
      <c r="I29" s="13">
        <f t="shared" si="3"/>
        <v>0</v>
      </c>
    </row>
    <row r="30" spans="2:9" x14ac:dyDescent="0.25">
      <c r="B30" s="9">
        <v>27</v>
      </c>
      <c r="C30" s="10">
        <f>'[5]Estimasi NPHR'!C30</f>
        <v>4399.22</v>
      </c>
      <c r="D30" s="11">
        <f>'[5]Estimasi NPHR'!D30</f>
        <v>0</v>
      </c>
      <c r="E30" s="12">
        <f>'[5]Coal Blend'!BV423</f>
        <v>0.6</v>
      </c>
      <c r="F30" s="12">
        <f t="shared" si="0"/>
        <v>0.4</v>
      </c>
      <c r="G30" s="13">
        <f t="shared" si="1"/>
        <v>0</v>
      </c>
      <c r="H30" s="13">
        <f t="shared" si="2"/>
        <v>0</v>
      </c>
      <c r="I30" s="13">
        <f t="shared" si="3"/>
        <v>0</v>
      </c>
    </row>
    <row r="31" spans="2:9" x14ac:dyDescent="0.25">
      <c r="B31" s="9">
        <v>28</v>
      </c>
      <c r="C31" s="10">
        <f>'[5]Estimasi NPHR'!C31</f>
        <v>4352.4651411657551</v>
      </c>
      <c r="D31" s="11">
        <f>'[5]Estimasi NPHR'!D31</f>
        <v>0</v>
      </c>
      <c r="E31" s="12">
        <f>'[5]Coal Blend'!BV439</f>
        <v>0.56666666666666665</v>
      </c>
      <c r="F31" s="12">
        <f t="shared" si="0"/>
        <v>0.43333333333333335</v>
      </c>
      <c r="G31" s="13">
        <f t="shared" si="1"/>
        <v>0</v>
      </c>
      <c r="H31" s="13">
        <f t="shared" si="2"/>
        <v>0</v>
      </c>
      <c r="I31" s="13">
        <f t="shared" si="3"/>
        <v>0</v>
      </c>
    </row>
    <row r="32" spans="2:9" x14ac:dyDescent="0.25">
      <c r="B32" s="9">
        <v>29</v>
      </c>
      <c r="C32" s="10" t="str">
        <f>'[5]Estimasi NPHR'!C32</f>
        <v>0</v>
      </c>
      <c r="D32" s="11">
        <f>'[5]Estimasi NPHR'!D32</f>
        <v>0</v>
      </c>
      <c r="E32" s="12">
        <f>'[5]Coal Blend'!BV455</f>
        <v>0</v>
      </c>
      <c r="F32" s="12">
        <f t="shared" si="0"/>
        <v>1</v>
      </c>
      <c r="G32" s="13">
        <f t="shared" si="1"/>
        <v>0</v>
      </c>
      <c r="H32" s="13">
        <f t="shared" si="2"/>
        <v>0</v>
      </c>
      <c r="I32" s="13">
        <f t="shared" si="3"/>
        <v>0</v>
      </c>
    </row>
    <row r="33" spans="2:9" ht="15.75" thickBot="1" x14ac:dyDescent="0.3">
      <c r="B33" s="9">
        <v>30</v>
      </c>
      <c r="C33" s="10" t="str">
        <f>'[5]Estimasi NPHR'!C33</f>
        <v>0</v>
      </c>
      <c r="D33" s="11">
        <f>'[5]Estimasi NPHR'!D33</f>
        <v>0</v>
      </c>
      <c r="E33" s="12">
        <f>'[5]Coal Blend'!BV471</f>
        <v>0</v>
      </c>
      <c r="F33" s="12">
        <f t="shared" si="0"/>
        <v>1</v>
      </c>
      <c r="G33" s="13">
        <f t="shared" si="1"/>
        <v>0</v>
      </c>
      <c r="H33" s="13">
        <f t="shared" si="2"/>
        <v>0</v>
      </c>
      <c r="I33" s="13">
        <f t="shared" si="3"/>
        <v>0</v>
      </c>
    </row>
    <row r="34" spans="2:9" ht="15.75" thickBot="1" x14ac:dyDescent="0.3">
      <c r="B34" s="14"/>
      <c r="C34" s="15">
        <f>IF(D34=0,0,I34/D34)</f>
        <v>0</v>
      </c>
      <c r="D34" s="16">
        <f>SUM(D4:D33)</f>
        <v>0</v>
      </c>
      <c r="E34" s="16"/>
      <c r="F34" s="16"/>
      <c r="G34" s="16">
        <f>SUM(G4:G33)</f>
        <v>0</v>
      </c>
      <c r="H34" s="16">
        <f>SUM(H4:H33)</f>
        <v>0</v>
      </c>
      <c r="I34" s="17">
        <f>SUM(I4:I33)</f>
        <v>0</v>
      </c>
    </row>
    <row r="35" spans="2:9" x14ac:dyDescent="0.25">
      <c r="D35" s="18">
        <f>MAX(D4:D33)</f>
        <v>0</v>
      </c>
    </row>
  </sheetData>
  <mergeCells count="2">
    <mergeCell ref="B2:B3"/>
    <mergeCell ref="C2:I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3D9AB-D12D-48C4-B0B7-1EF7A93CCD74}">
  <dimension ref="B1:I35"/>
  <sheetViews>
    <sheetView workbookViewId="0">
      <selection activeCell="J34" sqref="J34"/>
    </sheetView>
  </sheetViews>
  <sheetFormatPr defaultRowHeight="15" x14ac:dyDescent="0.25"/>
  <cols>
    <col min="2" max="2" width="8.5703125" bestFit="1" customWidth="1"/>
    <col min="3" max="3" width="9.5703125" bestFit="1" customWidth="1"/>
    <col min="4" max="4" width="11.5703125" bestFit="1" customWidth="1"/>
    <col min="5" max="6" width="5.5703125" bestFit="1" customWidth="1"/>
    <col min="7" max="8" width="10.5703125" bestFit="1" customWidth="1"/>
    <col min="9" max="9" width="12.5703125" bestFit="1" customWidth="1"/>
  </cols>
  <sheetData>
    <row r="1" spans="2:9" ht="15.75" thickBot="1" x14ac:dyDescent="0.3"/>
    <row r="2" spans="2:9" ht="16.5" thickBot="1" x14ac:dyDescent="0.3">
      <c r="B2" s="1" t="s">
        <v>6</v>
      </c>
      <c r="C2" s="2" t="s">
        <v>5</v>
      </c>
      <c r="D2" s="3"/>
      <c r="E2" s="3"/>
      <c r="F2" s="3"/>
      <c r="G2" s="3"/>
      <c r="H2" s="3"/>
      <c r="I2" s="4"/>
    </row>
    <row r="3" spans="2:9" ht="16.5" thickBot="1" x14ac:dyDescent="0.3">
      <c r="B3" s="5"/>
      <c r="C3" s="6" t="s">
        <v>4</v>
      </c>
      <c r="D3" s="7" t="s">
        <v>0</v>
      </c>
      <c r="E3" s="8" t="s">
        <v>1</v>
      </c>
      <c r="F3" s="8" t="s">
        <v>2</v>
      </c>
      <c r="G3" s="8" t="s">
        <v>1</v>
      </c>
      <c r="H3" s="8" t="s">
        <v>2</v>
      </c>
      <c r="I3" s="8" t="s">
        <v>3</v>
      </c>
    </row>
    <row r="4" spans="2:9" x14ac:dyDescent="0.25">
      <c r="B4" s="9">
        <v>1</v>
      </c>
      <c r="C4" s="10">
        <f>'[6]Estimasi NPHR'!C4</f>
        <v>4433.3085634408608</v>
      </c>
      <c r="D4" s="11">
        <f>'[6]Estimasi NPHR'!D4</f>
        <v>0</v>
      </c>
      <c r="E4" s="12">
        <f>'[6]Coal Blend'!BV7</f>
        <v>0.71666666666666667</v>
      </c>
      <c r="F4" s="12">
        <f>1-E4</f>
        <v>0.28333333333333333</v>
      </c>
      <c r="G4" s="13">
        <f>_xlfn.IFNA(E4*D4,0)</f>
        <v>0</v>
      </c>
      <c r="H4" s="13">
        <f>_xlfn.IFNA(F4*D4,0)</f>
        <v>0</v>
      </c>
      <c r="I4" s="13">
        <f>C4*D4</f>
        <v>0</v>
      </c>
    </row>
    <row r="5" spans="2:9" x14ac:dyDescent="0.25">
      <c r="B5" s="9">
        <v>2</v>
      </c>
      <c r="C5" s="10">
        <f>'[6]Estimasi NPHR'!C5</f>
        <v>4382.0371047619046</v>
      </c>
      <c r="D5" s="11">
        <f>'[6]Estimasi NPHR'!D5</f>
        <v>0</v>
      </c>
      <c r="E5" s="12">
        <f>'[6]Coal Blend'!BV23</f>
        <v>0.98333333333333339</v>
      </c>
      <c r="F5" s="12">
        <f t="shared" ref="F5:F33" si="0">1-E5</f>
        <v>1.6666666666666607E-2</v>
      </c>
      <c r="G5" s="13">
        <f t="shared" ref="G5:G33" si="1">_xlfn.IFNA(E5*D5,0)</f>
        <v>0</v>
      </c>
      <c r="H5" s="13">
        <f t="shared" ref="H5:H33" si="2">_xlfn.IFNA(F5*D5,0)</f>
        <v>0</v>
      </c>
      <c r="I5" s="13">
        <f t="shared" ref="I5:I33" si="3">C5*D5</f>
        <v>0</v>
      </c>
    </row>
    <row r="6" spans="2:9" x14ac:dyDescent="0.25">
      <c r="B6" s="9">
        <v>3</v>
      </c>
      <c r="C6" s="10">
        <f>'[6]Estimasi NPHR'!C6</f>
        <v>4417.7657435897427</v>
      </c>
      <c r="D6" s="11">
        <f>'[6]Estimasi NPHR'!D6</f>
        <v>0</v>
      </c>
      <c r="E6" s="12">
        <f>'[6]Coal Blend'!BV39</f>
        <v>0.5</v>
      </c>
      <c r="F6" s="12">
        <f t="shared" si="0"/>
        <v>0.5</v>
      </c>
      <c r="G6" s="13">
        <f t="shared" si="1"/>
        <v>0</v>
      </c>
      <c r="H6" s="13">
        <f t="shared" si="2"/>
        <v>0</v>
      </c>
      <c r="I6" s="13">
        <f t="shared" si="3"/>
        <v>0</v>
      </c>
    </row>
    <row r="7" spans="2:9" x14ac:dyDescent="0.25">
      <c r="B7" s="9">
        <v>4</v>
      </c>
      <c r="C7" s="10">
        <f>'[6]Estimasi NPHR'!C7</f>
        <v>4207.1463589743589</v>
      </c>
      <c r="D7" s="11">
        <f>'[6]Estimasi NPHR'!D7</f>
        <v>0</v>
      </c>
      <c r="E7" s="12">
        <f>'[6]Coal Blend'!BV55</f>
        <v>0.33333333333333331</v>
      </c>
      <c r="F7" s="12">
        <f t="shared" si="0"/>
        <v>0.66666666666666674</v>
      </c>
      <c r="G7" s="13">
        <f t="shared" si="1"/>
        <v>0</v>
      </c>
      <c r="H7" s="13">
        <f t="shared" si="2"/>
        <v>0</v>
      </c>
      <c r="I7" s="13">
        <f t="shared" si="3"/>
        <v>0</v>
      </c>
    </row>
    <row r="8" spans="2:9" x14ac:dyDescent="0.25">
      <c r="B8" s="9">
        <v>5</v>
      </c>
      <c r="C8" s="10">
        <f>'[6]Estimasi NPHR'!C8</f>
        <v>4297.952242926156</v>
      </c>
      <c r="D8" s="11">
        <f>'[6]Estimasi NPHR'!D8</f>
        <v>0</v>
      </c>
      <c r="E8" s="12">
        <f>'[6]Coal Blend'!BV71</f>
        <v>0.43333333333333335</v>
      </c>
      <c r="F8" s="12">
        <f t="shared" si="0"/>
        <v>0.56666666666666665</v>
      </c>
      <c r="G8" s="13">
        <f t="shared" si="1"/>
        <v>0</v>
      </c>
      <c r="H8" s="13">
        <f t="shared" si="2"/>
        <v>0</v>
      </c>
      <c r="I8" s="13">
        <f t="shared" si="3"/>
        <v>0</v>
      </c>
    </row>
    <row r="9" spans="2:9" x14ac:dyDescent="0.25">
      <c r="B9" s="9">
        <v>6</v>
      </c>
      <c r="C9" s="10">
        <f>'[6]Estimasi NPHR'!C9</f>
        <v>4173.0229144289297</v>
      </c>
      <c r="D9" s="11">
        <f>'[6]Estimasi NPHR'!D9</f>
        <v>0</v>
      </c>
      <c r="E9" s="12">
        <f>'[6]Coal Blend'!BV87</f>
        <v>0.25</v>
      </c>
      <c r="F9" s="12">
        <f t="shared" si="0"/>
        <v>0.75</v>
      </c>
      <c r="G9" s="13">
        <f t="shared" si="1"/>
        <v>0</v>
      </c>
      <c r="H9" s="13">
        <f t="shared" si="2"/>
        <v>0</v>
      </c>
      <c r="I9" s="13">
        <f t="shared" si="3"/>
        <v>0</v>
      </c>
    </row>
    <row r="10" spans="2:9" x14ac:dyDescent="0.25">
      <c r="B10" s="9">
        <v>7</v>
      </c>
      <c r="C10" s="10">
        <f>'[6]Estimasi NPHR'!C10</f>
        <v>3967.678231292517</v>
      </c>
      <c r="D10" s="11">
        <f>'[6]Estimasi NPHR'!D10</f>
        <v>0</v>
      </c>
      <c r="E10" s="12">
        <f>'[6]Coal Blend'!BV103</f>
        <v>8.3333333333333329E-2</v>
      </c>
      <c r="F10" s="12">
        <f t="shared" si="0"/>
        <v>0.91666666666666663</v>
      </c>
      <c r="G10" s="13">
        <f t="shared" si="1"/>
        <v>0</v>
      </c>
      <c r="H10" s="13">
        <f t="shared" si="2"/>
        <v>0</v>
      </c>
      <c r="I10" s="13">
        <f t="shared" si="3"/>
        <v>0</v>
      </c>
    </row>
    <row r="11" spans="2:9" x14ac:dyDescent="0.25">
      <c r="B11" s="9">
        <v>8</v>
      </c>
      <c r="C11" s="10">
        <f>'[6]Estimasi NPHR'!C11</f>
        <v>4463.0904761904758</v>
      </c>
      <c r="D11" s="11">
        <f>'[6]Estimasi NPHR'!D11</f>
        <v>0</v>
      </c>
      <c r="E11" s="12">
        <f>'[6]Coal Blend'!BV119</f>
        <v>0.96666666666666667</v>
      </c>
      <c r="F11" s="12">
        <f t="shared" si="0"/>
        <v>3.3333333333333326E-2</v>
      </c>
      <c r="G11" s="13">
        <f t="shared" si="1"/>
        <v>0</v>
      </c>
      <c r="H11" s="13">
        <f t="shared" si="2"/>
        <v>0</v>
      </c>
      <c r="I11" s="13">
        <f t="shared" si="3"/>
        <v>0</v>
      </c>
    </row>
    <row r="12" spans="2:9" x14ac:dyDescent="0.25">
      <c r="B12" s="9">
        <v>9</v>
      </c>
      <c r="C12" s="10">
        <f>'[6]Estimasi NPHR'!C12</f>
        <v>4366.6115773115771</v>
      </c>
      <c r="D12" s="11">
        <f>'[6]Estimasi NPHR'!D12</f>
        <v>0</v>
      </c>
      <c r="E12" s="12">
        <f>'[6]Coal Blend'!BV135</f>
        <v>0.66666666666666663</v>
      </c>
      <c r="F12" s="12">
        <f t="shared" si="0"/>
        <v>0.33333333333333337</v>
      </c>
      <c r="G12" s="13">
        <f t="shared" si="1"/>
        <v>0</v>
      </c>
      <c r="H12" s="13">
        <f t="shared" si="2"/>
        <v>0</v>
      </c>
      <c r="I12" s="13">
        <f t="shared" si="3"/>
        <v>0</v>
      </c>
    </row>
    <row r="13" spans="2:9" x14ac:dyDescent="0.25">
      <c r="B13" s="9">
        <v>10</v>
      </c>
      <c r="C13" s="10">
        <f>'[6]Estimasi NPHR'!C13</f>
        <v>4350.2451585687377</v>
      </c>
      <c r="D13" s="11">
        <f>'[6]Estimasi NPHR'!D13</f>
        <v>0</v>
      </c>
      <c r="E13" s="12">
        <f>'[6]Coal Blend'!BV151</f>
        <v>0.68333333333333324</v>
      </c>
      <c r="F13" s="12">
        <f t="shared" si="0"/>
        <v>0.31666666666666676</v>
      </c>
      <c r="G13" s="13">
        <f t="shared" si="1"/>
        <v>0</v>
      </c>
      <c r="H13" s="13">
        <f t="shared" si="2"/>
        <v>0</v>
      </c>
      <c r="I13" s="13">
        <f t="shared" si="3"/>
        <v>0</v>
      </c>
    </row>
    <row r="14" spans="2:9" x14ac:dyDescent="0.25">
      <c r="B14" s="9">
        <v>11</v>
      </c>
      <c r="C14" s="10">
        <f>'[6]Estimasi NPHR'!C14</f>
        <v>4397.6401253757731</v>
      </c>
      <c r="D14" s="11">
        <f>'[6]Estimasi NPHR'!D14</f>
        <v>0</v>
      </c>
      <c r="E14" s="12">
        <f>'[6]Coal Blend'!BV167</f>
        <v>0.9</v>
      </c>
      <c r="F14" s="12">
        <f t="shared" si="0"/>
        <v>9.9999999999999978E-2</v>
      </c>
      <c r="G14" s="13">
        <f t="shared" si="1"/>
        <v>0</v>
      </c>
      <c r="H14" s="13">
        <f t="shared" si="2"/>
        <v>0</v>
      </c>
      <c r="I14" s="13">
        <f t="shared" si="3"/>
        <v>0</v>
      </c>
    </row>
    <row r="15" spans="2:9" x14ac:dyDescent="0.25">
      <c r="B15" s="9">
        <v>12</v>
      </c>
      <c r="C15" s="10">
        <f>'[6]Estimasi NPHR'!C15</f>
        <v>4219.8780998389702</v>
      </c>
      <c r="D15" s="11">
        <f>'[6]Estimasi NPHR'!D15</f>
        <v>0</v>
      </c>
      <c r="E15" s="12">
        <f>'[6]Coal Blend'!BV183</f>
        <v>0.43333333333333335</v>
      </c>
      <c r="F15" s="12">
        <f t="shared" si="0"/>
        <v>0.56666666666666665</v>
      </c>
      <c r="G15" s="13">
        <f t="shared" si="1"/>
        <v>0</v>
      </c>
      <c r="H15" s="13">
        <f t="shared" si="2"/>
        <v>0</v>
      </c>
      <c r="I15" s="13">
        <f t="shared" si="3"/>
        <v>0</v>
      </c>
    </row>
    <row r="16" spans="2:9" x14ac:dyDescent="0.25">
      <c r="B16" s="9">
        <v>13</v>
      </c>
      <c r="C16" s="10">
        <f>'[6]Estimasi NPHR'!C16</f>
        <v>4246.2974583130963</v>
      </c>
      <c r="D16" s="11">
        <f>'[6]Estimasi NPHR'!D16</f>
        <v>0</v>
      </c>
      <c r="E16" s="12">
        <f>'[6]Coal Blend'!BV199</f>
        <v>0.41666666666666669</v>
      </c>
      <c r="F16" s="12">
        <f t="shared" si="0"/>
        <v>0.58333333333333326</v>
      </c>
      <c r="G16" s="13">
        <f t="shared" si="1"/>
        <v>0</v>
      </c>
      <c r="H16" s="13">
        <f t="shared" si="2"/>
        <v>0</v>
      </c>
      <c r="I16" s="13">
        <f t="shared" si="3"/>
        <v>0</v>
      </c>
    </row>
    <row r="17" spans="2:9" x14ac:dyDescent="0.25">
      <c r="B17" s="9">
        <v>14</v>
      </c>
      <c r="C17" s="10">
        <f>'[6]Estimasi NPHR'!C17</f>
        <v>4241.1972176851596</v>
      </c>
      <c r="D17" s="11">
        <f>'[6]Estimasi NPHR'!D17</f>
        <v>0</v>
      </c>
      <c r="E17" s="12">
        <f>'[6]Coal Blend'!BV215</f>
        <v>0.5</v>
      </c>
      <c r="F17" s="12">
        <f t="shared" si="0"/>
        <v>0.5</v>
      </c>
      <c r="G17" s="13">
        <f t="shared" si="1"/>
        <v>0</v>
      </c>
      <c r="H17" s="13">
        <f t="shared" si="2"/>
        <v>0</v>
      </c>
      <c r="I17" s="13">
        <f t="shared" si="3"/>
        <v>0</v>
      </c>
    </row>
    <row r="18" spans="2:9" x14ac:dyDescent="0.25">
      <c r="B18" s="9">
        <v>15</v>
      </c>
      <c r="C18" s="10">
        <f>'[6]Estimasi NPHR'!C18</f>
        <v>4159.1771428571419</v>
      </c>
      <c r="D18" s="11">
        <f>'[6]Estimasi NPHR'!D18</f>
        <v>0</v>
      </c>
      <c r="E18" s="12">
        <f>'[6]Coal Blend'!BV231</f>
        <v>0.20000000000000004</v>
      </c>
      <c r="F18" s="12">
        <f t="shared" si="0"/>
        <v>0.79999999999999993</v>
      </c>
      <c r="G18" s="13">
        <f t="shared" si="1"/>
        <v>0</v>
      </c>
      <c r="H18" s="13">
        <f t="shared" si="2"/>
        <v>0</v>
      </c>
      <c r="I18" s="13">
        <f t="shared" si="3"/>
        <v>0</v>
      </c>
    </row>
    <row r="19" spans="2:9" x14ac:dyDescent="0.25">
      <c r="B19" s="9">
        <v>16</v>
      </c>
      <c r="C19" s="10">
        <f>'[6]Estimasi NPHR'!C19</f>
        <v>4220.6477576008592</v>
      </c>
      <c r="D19" s="11">
        <f>'[6]Estimasi NPHR'!D19</f>
        <v>0</v>
      </c>
      <c r="E19" s="12">
        <f>'[6]Coal Blend'!BV247</f>
        <v>0.23333333333333331</v>
      </c>
      <c r="F19" s="12">
        <f t="shared" si="0"/>
        <v>0.76666666666666672</v>
      </c>
      <c r="G19" s="13">
        <f t="shared" si="1"/>
        <v>0</v>
      </c>
      <c r="H19" s="13">
        <f t="shared" si="2"/>
        <v>0</v>
      </c>
      <c r="I19" s="13">
        <f t="shared" si="3"/>
        <v>0</v>
      </c>
    </row>
    <row r="20" spans="2:9" x14ac:dyDescent="0.25">
      <c r="B20" s="9">
        <v>17</v>
      </c>
      <c r="C20" s="10">
        <f>'[6]Estimasi NPHR'!C20</f>
        <v>4409.8650666666663</v>
      </c>
      <c r="D20" s="11">
        <f>'[6]Estimasi NPHR'!D20</f>
        <v>0</v>
      </c>
      <c r="E20" s="12">
        <f>'[6]Coal Blend'!BV263</f>
        <v>0.6333333333333333</v>
      </c>
      <c r="F20" s="12">
        <f t="shared" si="0"/>
        <v>0.3666666666666667</v>
      </c>
      <c r="G20" s="13">
        <f t="shared" si="1"/>
        <v>0</v>
      </c>
      <c r="H20" s="13">
        <f t="shared" si="2"/>
        <v>0</v>
      </c>
      <c r="I20" s="13">
        <f t="shared" si="3"/>
        <v>0</v>
      </c>
    </row>
    <row r="21" spans="2:9" x14ac:dyDescent="0.25">
      <c r="B21" s="9">
        <v>18</v>
      </c>
      <c r="C21" s="10">
        <f>'[6]Estimasi NPHR'!C21</f>
        <v>4477.5141666666668</v>
      </c>
      <c r="D21" s="11">
        <f>'[6]Estimasi NPHR'!D21</f>
        <v>0</v>
      </c>
      <c r="E21" s="12">
        <f>'[6]Coal Blend'!BV279</f>
        <v>0.91666666666666663</v>
      </c>
      <c r="F21" s="12">
        <f t="shared" si="0"/>
        <v>8.333333333333337E-2</v>
      </c>
      <c r="G21" s="13">
        <f t="shared" si="1"/>
        <v>0</v>
      </c>
      <c r="H21" s="13">
        <f t="shared" si="2"/>
        <v>0</v>
      </c>
      <c r="I21" s="13">
        <f t="shared" si="3"/>
        <v>0</v>
      </c>
    </row>
    <row r="22" spans="2:9" x14ac:dyDescent="0.25">
      <c r="B22" s="9">
        <v>19</v>
      </c>
      <c r="C22" s="10">
        <f>'[6]Estimasi NPHR'!C22</f>
        <v>4503.4333333333334</v>
      </c>
      <c r="D22" s="11">
        <f>'[6]Estimasi NPHR'!D22</f>
        <v>0</v>
      </c>
      <c r="E22" s="12">
        <f>'[6]Coal Blend'!BV295</f>
        <v>0.91666666666666663</v>
      </c>
      <c r="F22" s="12">
        <f t="shared" si="0"/>
        <v>8.333333333333337E-2</v>
      </c>
      <c r="G22" s="13">
        <f t="shared" si="1"/>
        <v>0</v>
      </c>
      <c r="H22" s="13">
        <f t="shared" si="2"/>
        <v>0</v>
      </c>
      <c r="I22" s="13">
        <f t="shared" si="3"/>
        <v>0</v>
      </c>
    </row>
    <row r="23" spans="2:9" x14ac:dyDescent="0.25">
      <c r="B23" s="9">
        <v>20</v>
      </c>
      <c r="C23" s="10">
        <f>'[6]Estimasi NPHR'!C23</f>
        <v>4311.7120300751876</v>
      </c>
      <c r="D23" s="11">
        <f>'[6]Estimasi NPHR'!D23</f>
        <v>0</v>
      </c>
      <c r="E23" s="12">
        <f>'[6]Coal Blend'!BV311</f>
        <v>0.43333333333333335</v>
      </c>
      <c r="F23" s="12">
        <f t="shared" si="0"/>
        <v>0.56666666666666665</v>
      </c>
      <c r="G23" s="13">
        <f t="shared" si="1"/>
        <v>0</v>
      </c>
      <c r="H23" s="13">
        <f t="shared" si="2"/>
        <v>0</v>
      </c>
      <c r="I23" s="13">
        <f t="shared" si="3"/>
        <v>0</v>
      </c>
    </row>
    <row r="24" spans="2:9" x14ac:dyDescent="0.25">
      <c r="B24" s="9">
        <v>21</v>
      </c>
      <c r="C24" s="10">
        <f>'[6]Estimasi NPHR'!C24</f>
        <v>4489.6489577245275</v>
      </c>
      <c r="D24" s="11">
        <f>'[6]Estimasi NPHR'!D24</f>
        <v>0</v>
      </c>
      <c r="E24" s="12">
        <f>'[6]Coal Blend'!BV327</f>
        <v>0.6333333333333333</v>
      </c>
      <c r="F24" s="12">
        <f t="shared" si="0"/>
        <v>0.3666666666666667</v>
      </c>
      <c r="G24" s="13">
        <f t="shared" si="1"/>
        <v>0</v>
      </c>
      <c r="H24" s="13">
        <f t="shared" si="2"/>
        <v>0</v>
      </c>
      <c r="I24" s="13">
        <f t="shared" si="3"/>
        <v>0</v>
      </c>
    </row>
    <row r="25" spans="2:9" x14ac:dyDescent="0.25">
      <c r="B25" s="9">
        <v>22</v>
      </c>
      <c r="C25" s="10">
        <f>'[6]Estimasi NPHR'!C25</f>
        <v>4399.76156470152</v>
      </c>
      <c r="D25" s="11">
        <f>'[6]Estimasi NPHR'!D25</f>
        <v>0</v>
      </c>
      <c r="E25" s="12">
        <f>'[6]Coal Blend'!BV343</f>
        <v>0.43333333333333335</v>
      </c>
      <c r="F25" s="12">
        <f t="shared" si="0"/>
        <v>0.56666666666666665</v>
      </c>
      <c r="G25" s="13">
        <f t="shared" si="1"/>
        <v>0</v>
      </c>
      <c r="H25" s="13">
        <f t="shared" si="2"/>
        <v>0</v>
      </c>
      <c r="I25" s="13">
        <f t="shared" si="3"/>
        <v>0</v>
      </c>
    </row>
    <row r="26" spans="2:9" x14ac:dyDescent="0.25">
      <c r="B26" s="9">
        <v>23</v>
      </c>
      <c r="C26" s="10">
        <f>'[6]Estimasi NPHR'!C26</f>
        <v>4377.0959954400359</v>
      </c>
      <c r="D26" s="11">
        <f>'[6]Estimasi NPHR'!D26</f>
        <v>0</v>
      </c>
      <c r="E26" s="12">
        <f>'[6]Coal Blend'!BV359</f>
        <v>0.32777777777777778</v>
      </c>
      <c r="F26" s="12">
        <f t="shared" si="0"/>
        <v>0.67222222222222228</v>
      </c>
      <c r="G26" s="13">
        <f t="shared" si="1"/>
        <v>0</v>
      </c>
      <c r="H26" s="13">
        <f t="shared" si="2"/>
        <v>0</v>
      </c>
      <c r="I26" s="13">
        <f t="shared" si="3"/>
        <v>0</v>
      </c>
    </row>
    <row r="27" spans="2:9" x14ac:dyDescent="0.25">
      <c r="B27" s="9">
        <v>24</v>
      </c>
      <c r="C27" s="10">
        <f>'[6]Estimasi NPHR'!C27</f>
        <v>4277.2503846153841</v>
      </c>
      <c r="D27" s="11">
        <f>'[6]Estimasi NPHR'!D27</f>
        <v>0</v>
      </c>
      <c r="E27" s="12">
        <f>'[6]Coal Blend'!BV375</f>
        <v>0.46666666666666662</v>
      </c>
      <c r="F27" s="12">
        <f t="shared" si="0"/>
        <v>0.53333333333333344</v>
      </c>
      <c r="G27" s="13">
        <f t="shared" si="1"/>
        <v>0</v>
      </c>
      <c r="H27" s="13">
        <f t="shared" si="2"/>
        <v>0</v>
      </c>
      <c r="I27" s="13">
        <f t="shared" si="3"/>
        <v>0</v>
      </c>
    </row>
    <row r="28" spans="2:9" x14ac:dyDescent="0.25">
      <c r="B28" s="9">
        <v>25</v>
      </c>
      <c r="C28" s="10">
        <f>'[6]Estimasi NPHR'!C28</f>
        <v>4320.6872985638702</v>
      </c>
      <c r="D28" s="11">
        <f>'[6]Estimasi NPHR'!D28</f>
        <v>0</v>
      </c>
      <c r="E28" s="12">
        <f>'[6]Coal Blend'!BV391</f>
        <v>0.54999999999999993</v>
      </c>
      <c r="F28" s="12">
        <f t="shared" si="0"/>
        <v>0.45000000000000007</v>
      </c>
      <c r="G28" s="13">
        <f t="shared" si="1"/>
        <v>0</v>
      </c>
      <c r="H28" s="13">
        <f t="shared" si="2"/>
        <v>0</v>
      </c>
      <c r="I28" s="13">
        <f t="shared" si="3"/>
        <v>0</v>
      </c>
    </row>
    <row r="29" spans="2:9" x14ac:dyDescent="0.25">
      <c r="B29" s="9">
        <v>26</v>
      </c>
      <c r="C29" s="10">
        <f>'[6]Estimasi NPHR'!C29</f>
        <v>4326.0008148822344</v>
      </c>
      <c r="D29" s="11">
        <f>'[6]Estimasi NPHR'!D29</f>
        <v>0</v>
      </c>
      <c r="E29" s="12">
        <f>'[6]Coal Blend'!BV407</f>
        <v>0.64166666666666661</v>
      </c>
      <c r="F29" s="12">
        <f t="shared" si="0"/>
        <v>0.35833333333333339</v>
      </c>
      <c r="G29" s="13">
        <f t="shared" si="1"/>
        <v>0</v>
      </c>
      <c r="H29" s="13">
        <f t="shared" si="2"/>
        <v>0</v>
      </c>
      <c r="I29" s="13">
        <f t="shared" si="3"/>
        <v>0</v>
      </c>
    </row>
    <row r="30" spans="2:9" x14ac:dyDescent="0.25">
      <c r="B30" s="9">
        <v>27</v>
      </c>
      <c r="C30" s="10">
        <f>'[6]Estimasi NPHR'!C30</f>
        <v>4363.3949404761906</v>
      </c>
      <c r="D30" s="11">
        <f>'[6]Estimasi NPHR'!D30</f>
        <v>0</v>
      </c>
      <c r="E30" s="12">
        <f>'[6]Coal Blend'!BV423</f>
        <v>0.58333333333333337</v>
      </c>
      <c r="F30" s="12">
        <f t="shared" si="0"/>
        <v>0.41666666666666663</v>
      </c>
      <c r="G30" s="13">
        <f t="shared" si="1"/>
        <v>0</v>
      </c>
      <c r="H30" s="13">
        <f t="shared" si="2"/>
        <v>0</v>
      </c>
      <c r="I30" s="13">
        <f t="shared" si="3"/>
        <v>0</v>
      </c>
    </row>
    <row r="31" spans="2:9" x14ac:dyDescent="0.25">
      <c r="B31" s="9">
        <v>28</v>
      </c>
      <c r="C31" s="10">
        <f>'[6]Estimasi NPHR'!C31</f>
        <v>4466.764786645469</v>
      </c>
      <c r="D31" s="11">
        <f>'[6]Estimasi NPHR'!D31</f>
        <v>0</v>
      </c>
      <c r="E31" s="12">
        <f>'[6]Coal Blend'!BV439</f>
        <v>0.46666666666666673</v>
      </c>
      <c r="F31" s="12">
        <f t="shared" si="0"/>
        <v>0.53333333333333321</v>
      </c>
      <c r="G31" s="13">
        <f t="shared" si="1"/>
        <v>0</v>
      </c>
      <c r="H31" s="13">
        <f t="shared" si="2"/>
        <v>0</v>
      </c>
      <c r="I31" s="13">
        <f t="shared" si="3"/>
        <v>0</v>
      </c>
    </row>
    <row r="32" spans="2:9" x14ac:dyDescent="0.25">
      <c r="B32" s="9">
        <v>29</v>
      </c>
      <c r="C32" s="10">
        <f>'[6]Estimasi NPHR'!C32</f>
        <v>4275.1705775335777</v>
      </c>
      <c r="D32" s="11">
        <f>'[6]Estimasi NPHR'!D32</f>
        <v>0</v>
      </c>
      <c r="E32" s="12">
        <f>'[6]Coal Blend'!BV455</f>
        <v>0.23333333333333331</v>
      </c>
      <c r="F32" s="12">
        <f t="shared" si="0"/>
        <v>0.76666666666666672</v>
      </c>
      <c r="G32" s="13">
        <f t="shared" si="1"/>
        <v>0</v>
      </c>
      <c r="H32" s="13">
        <f t="shared" si="2"/>
        <v>0</v>
      </c>
      <c r="I32" s="13">
        <f t="shared" si="3"/>
        <v>0</v>
      </c>
    </row>
    <row r="33" spans="2:9" ht="15.75" thickBot="1" x14ac:dyDescent="0.3">
      <c r="B33" s="9">
        <v>30</v>
      </c>
      <c r="C33" s="10">
        <f>'[6]Estimasi NPHR'!C33</f>
        <v>4207.8360172390567</v>
      </c>
      <c r="D33" s="11">
        <f>'[6]Estimasi NPHR'!D33</f>
        <v>0</v>
      </c>
      <c r="E33" s="12">
        <f>'[6]Coal Blend'!BV471</f>
        <v>0.25</v>
      </c>
      <c r="F33" s="12">
        <f t="shared" si="0"/>
        <v>0.75</v>
      </c>
      <c r="G33" s="13">
        <f t="shared" si="1"/>
        <v>0</v>
      </c>
      <c r="H33" s="13">
        <f t="shared" si="2"/>
        <v>0</v>
      </c>
      <c r="I33" s="13">
        <f t="shared" si="3"/>
        <v>0</v>
      </c>
    </row>
    <row r="34" spans="2:9" ht="15.75" thickBot="1" x14ac:dyDescent="0.3">
      <c r="B34" s="14"/>
      <c r="C34" s="15">
        <f>IF(D34=0,0,I34/D34)</f>
        <v>0</v>
      </c>
      <c r="D34" s="16">
        <f>SUM(D4:D33)</f>
        <v>0</v>
      </c>
      <c r="E34" s="16"/>
      <c r="F34" s="16"/>
      <c r="G34" s="16">
        <f>SUM(G4:G33)</f>
        <v>0</v>
      </c>
      <c r="H34" s="16">
        <f>SUM(H4:H33)</f>
        <v>0</v>
      </c>
      <c r="I34" s="17">
        <f>SUM(I4:I33)</f>
        <v>0</v>
      </c>
    </row>
    <row r="35" spans="2:9" x14ac:dyDescent="0.25">
      <c r="D35" s="18">
        <f>MAX(D4:D33)</f>
        <v>0</v>
      </c>
    </row>
  </sheetData>
  <mergeCells count="2">
    <mergeCell ref="B2:B3"/>
    <mergeCell ref="C2:I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4D863-FA85-4111-A4EA-AA1D612C3400}">
  <dimension ref="B1:I35"/>
  <sheetViews>
    <sheetView workbookViewId="0">
      <selection activeCell="J36" sqref="J36"/>
    </sheetView>
  </sheetViews>
  <sheetFormatPr defaultRowHeight="15" x14ac:dyDescent="0.25"/>
  <cols>
    <col min="2" max="2" width="8.5703125" bestFit="1" customWidth="1"/>
    <col min="3" max="3" width="9.5703125" bestFit="1" customWidth="1"/>
    <col min="4" max="4" width="11.5703125" bestFit="1" customWidth="1"/>
    <col min="5" max="6" width="5.5703125" bestFit="1" customWidth="1"/>
    <col min="7" max="8" width="10.5703125" bestFit="1" customWidth="1"/>
    <col min="9" max="9" width="12.5703125" bestFit="1" customWidth="1"/>
  </cols>
  <sheetData>
    <row r="1" spans="2:9" ht="15.75" thickBot="1" x14ac:dyDescent="0.3"/>
    <row r="2" spans="2:9" ht="16.5" thickBot="1" x14ac:dyDescent="0.3">
      <c r="B2" s="1" t="s">
        <v>6</v>
      </c>
      <c r="C2" s="2" t="s">
        <v>5</v>
      </c>
      <c r="D2" s="3"/>
      <c r="E2" s="3"/>
      <c r="F2" s="3"/>
      <c r="G2" s="3"/>
      <c r="H2" s="3"/>
      <c r="I2" s="4"/>
    </row>
    <row r="3" spans="2:9" ht="16.5" thickBot="1" x14ac:dyDescent="0.3">
      <c r="B3" s="5"/>
      <c r="C3" s="6" t="s">
        <v>4</v>
      </c>
      <c r="D3" s="7" t="s">
        <v>0</v>
      </c>
      <c r="E3" s="8" t="s">
        <v>1</v>
      </c>
      <c r="F3" s="8" t="s">
        <v>2</v>
      </c>
      <c r="G3" s="8" t="s">
        <v>1</v>
      </c>
      <c r="H3" s="8" t="s">
        <v>2</v>
      </c>
      <c r="I3" s="8" t="s">
        <v>3</v>
      </c>
    </row>
    <row r="4" spans="2:9" x14ac:dyDescent="0.25">
      <c r="B4" s="9">
        <v>1</v>
      </c>
      <c r="C4" s="10">
        <f>'[7]Estimasi NPHR'!C4</f>
        <v>4178.0787545787543</v>
      </c>
      <c r="D4" s="11">
        <f>'[7]Estimasi NPHR'!D4</f>
        <v>0</v>
      </c>
      <c r="E4" s="12">
        <f>'[7]Coal Blend'!BV7</f>
        <v>0.20833333333333334</v>
      </c>
      <c r="F4" s="12">
        <f>1-E4</f>
        <v>0.79166666666666663</v>
      </c>
      <c r="G4" s="13">
        <f>_xlfn.IFNA(E4*D4,0)</f>
        <v>0</v>
      </c>
      <c r="H4" s="13">
        <f>_xlfn.IFNA(F4*D4,0)</f>
        <v>0</v>
      </c>
      <c r="I4" s="13">
        <f>C4*D4</f>
        <v>0</v>
      </c>
    </row>
    <row r="5" spans="2:9" x14ac:dyDescent="0.25">
      <c r="B5" s="9">
        <v>2</v>
      </c>
      <c r="C5" s="10">
        <f>'[7]Estimasi NPHR'!C5</f>
        <v>4142.0148148148146</v>
      </c>
      <c r="D5" s="11">
        <f>'[7]Estimasi NPHR'!D5</f>
        <v>0</v>
      </c>
      <c r="E5" s="12">
        <f>'[7]Coal Blend'!BV23</f>
        <v>0.25</v>
      </c>
      <c r="F5" s="12">
        <f t="shared" ref="F5:F33" si="0">1-E5</f>
        <v>0.75</v>
      </c>
      <c r="G5" s="13">
        <f t="shared" ref="G5:G33" si="1">_xlfn.IFNA(E5*D5,0)</f>
        <v>0</v>
      </c>
      <c r="H5" s="13">
        <f t="shared" ref="H5:H33" si="2">_xlfn.IFNA(F5*D5,0)</f>
        <v>0</v>
      </c>
      <c r="I5" s="13">
        <f t="shared" ref="I5:I33" si="3">C5*D5</f>
        <v>0</v>
      </c>
    </row>
    <row r="6" spans="2:9" x14ac:dyDescent="0.25">
      <c r="B6" s="9">
        <v>3</v>
      </c>
      <c r="C6" s="10">
        <f>'[7]Estimasi NPHR'!C6</f>
        <v>4314.9934330621409</v>
      </c>
      <c r="D6" s="11">
        <f>'[7]Estimasi NPHR'!D6</f>
        <v>0</v>
      </c>
      <c r="E6" s="12">
        <f>'[7]Coal Blend'!BV39</f>
        <v>0.70000000000000007</v>
      </c>
      <c r="F6" s="12">
        <f t="shared" si="0"/>
        <v>0.29999999999999993</v>
      </c>
      <c r="G6" s="13">
        <f t="shared" si="1"/>
        <v>0</v>
      </c>
      <c r="H6" s="13">
        <f t="shared" si="2"/>
        <v>0</v>
      </c>
      <c r="I6" s="13">
        <f t="shared" si="3"/>
        <v>0</v>
      </c>
    </row>
    <row r="7" spans="2:9" x14ac:dyDescent="0.25">
      <c r="B7" s="9">
        <v>4</v>
      </c>
      <c r="C7" s="10">
        <f>'[7]Estimasi NPHR'!C7</f>
        <v>4240.5927407407407</v>
      </c>
      <c r="D7" s="11">
        <f>'[7]Estimasi NPHR'!D7</f>
        <v>0</v>
      </c>
      <c r="E7" s="12">
        <f>'[7]Coal Blend'!BV55</f>
        <v>0.53333333333333333</v>
      </c>
      <c r="F7" s="12">
        <f t="shared" si="0"/>
        <v>0.46666666666666667</v>
      </c>
      <c r="G7" s="13">
        <f t="shared" si="1"/>
        <v>0</v>
      </c>
      <c r="H7" s="13">
        <f t="shared" si="2"/>
        <v>0</v>
      </c>
      <c r="I7" s="13">
        <f t="shared" si="3"/>
        <v>0</v>
      </c>
    </row>
    <row r="8" spans="2:9" x14ac:dyDescent="0.25">
      <c r="B8" s="9">
        <v>5</v>
      </c>
      <c r="C8" s="10">
        <f>'[7]Estimasi NPHR'!C8</f>
        <v>4431.2523809523809</v>
      </c>
      <c r="D8" s="11">
        <f>'[7]Estimasi NPHR'!D8</f>
        <v>0</v>
      </c>
      <c r="E8" s="12">
        <f>'[7]Coal Blend'!BV71</f>
        <v>0.68333333333333324</v>
      </c>
      <c r="F8" s="12">
        <f t="shared" si="0"/>
        <v>0.31666666666666676</v>
      </c>
      <c r="G8" s="13">
        <f t="shared" si="1"/>
        <v>0</v>
      </c>
      <c r="H8" s="13">
        <f t="shared" si="2"/>
        <v>0</v>
      </c>
      <c r="I8" s="13">
        <f t="shared" si="3"/>
        <v>0</v>
      </c>
    </row>
    <row r="9" spans="2:9" x14ac:dyDescent="0.25">
      <c r="B9" s="9">
        <v>6</v>
      </c>
      <c r="C9" s="10">
        <f>'[7]Estimasi NPHR'!C9</f>
        <v>4286.6467885607126</v>
      </c>
      <c r="D9" s="11">
        <f>'[7]Estimasi NPHR'!D9</f>
        <v>0</v>
      </c>
      <c r="E9" s="12">
        <f>'[7]Coal Blend'!BV87</f>
        <v>0.44444444444444442</v>
      </c>
      <c r="F9" s="12">
        <f t="shared" si="0"/>
        <v>0.55555555555555558</v>
      </c>
      <c r="G9" s="13">
        <f t="shared" si="1"/>
        <v>0</v>
      </c>
      <c r="H9" s="13">
        <f t="shared" si="2"/>
        <v>0</v>
      </c>
      <c r="I9" s="13">
        <f t="shared" si="3"/>
        <v>0</v>
      </c>
    </row>
    <row r="10" spans="2:9" x14ac:dyDescent="0.25">
      <c r="B10" s="9">
        <v>7</v>
      </c>
      <c r="C10" s="10">
        <f>'[7]Estimasi NPHR'!C10</f>
        <v>4109.0011822139304</v>
      </c>
      <c r="D10" s="11">
        <f>'[7]Estimasi NPHR'!D10</f>
        <v>0</v>
      </c>
      <c r="E10" s="12">
        <f>'[7]Coal Blend'!BV103</f>
        <v>0.45</v>
      </c>
      <c r="F10" s="12">
        <f t="shared" si="0"/>
        <v>0.55000000000000004</v>
      </c>
      <c r="G10" s="13">
        <f t="shared" si="1"/>
        <v>0</v>
      </c>
      <c r="H10" s="13">
        <f t="shared" si="2"/>
        <v>0</v>
      </c>
      <c r="I10" s="13">
        <f t="shared" si="3"/>
        <v>0</v>
      </c>
    </row>
    <row r="11" spans="2:9" x14ac:dyDescent="0.25">
      <c r="B11" s="9">
        <v>8</v>
      </c>
      <c r="C11" s="10">
        <f>'[7]Estimasi NPHR'!C11</f>
        <v>4260.9439930717572</v>
      </c>
      <c r="D11" s="11">
        <f>'[7]Estimasi NPHR'!D11</f>
        <v>0</v>
      </c>
      <c r="E11" s="12">
        <f>'[7]Coal Blend'!BV119</f>
        <v>0.54166666666666663</v>
      </c>
      <c r="F11" s="12">
        <f t="shared" si="0"/>
        <v>0.45833333333333337</v>
      </c>
      <c r="G11" s="13">
        <f t="shared" si="1"/>
        <v>0</v>
      </c>
      <c r="H11" s="13">
        <f t="shared" si="2"/>
        <v>0</v>
      </c>
      <c r="I11" s="13">
        <f t="shared" si="3"/>
        <v>0</v>
      </c>
    </row>
    <row r="12" spans="2:9" x14ac:dyDescent="0.25">
      <c r="B12" s="9">
        <v>9</v>
      </c>
      <c r="C12" s="10">
        <f>'[7]Estimasi NPHR'!C12</f>
        <v>4406.6867121212117</v>
      </c>
      <c r="D12" s="11">
        <f>'[7]Estimasi NPHR'!D12</f>
        <v>0</v>
      </c>
      <c r="E12" s="12">
        <f>'[7]Coal Blend'!BV135</f>
        <v>0.57500000000000007</v>
      </c>
      <c r="F12" s="12">
        <f t="shared" si="0"/>
        <v>0.42499999999999993</v>
      </c>
      <c r="G12" s="13">
        <f t="shared" si="1"/>
        <v>0</v>
      </c>
      <c r="H12" s="13">
        <f t="shared" si="2"/>
        <v>0</v>
      </c>
      <c r="I12" s="13">
        <f t="shared" si="3"/>
        <v>0</v>
      </c>
    </row>
    <row r="13" spans="2:9" x14ac:dyDescent="0.25">
      <c r="B13" s="9">
        <v>10</v>
      </c>
      <c r="C13" s="10">
        <f>'[7]Estimasi NPHR'!C13</f>
        <v>4535.3830987394958</v>
      </c>
      <c r="D13" s="11">
        <f>'[7]Estimasi NPHR'!D13</f>
        <v>0</v>
      </c>
      <c r="E13" s="12">
        <f>'[7]Coal Blend'!BV151</f>
        <v>0.84166666666666667</v>
      </c>
      <c r="F13" s="12">
        <f t="shared" si="0"/>
        <v>0.15833333333333333</v>
      </c>
      <c r="G13" s="13">
        <f t="shared" si="1"/>
        <v>0</v>
      </c>
      <c r="H13" s="13">
        <f t="shared" si="2"/>
        <v>0</v>
      </c>
      <c r="I13" s="13">
        <f t="shared" si="3"/>
        <v>0</v>
      </c>
    </row>
    <row r="14" spans="2:9" x14ac:dyDescent="0.25">
      <c r="B14" s="9">
        <v>11</v>
      </c>
      <c r="C14" s="10">
        <f>'[7]Estimasi NPHR'!C14</f>
        <v>4358.0880174291951</v>
      </c>
      <c r="D14" s="11">
        <f>'[7]Estimasi NPHR'!D14</f>
        <v>0</v>
      </c>
      <c r="E14" s="12">
        <f>'[7]Coal Blend'!BV167</f>
        <v>0.46666666666666662</v>
      </c>
      <c r="F14" s="12">
        <f t="shared" si="0"/>
        <v>0.53333333333333344</v>
      </c>
      <c r="G14" s="13">
        <f t="shared" si="1"/>
        <v>0</v>
      </c>
      <c r="H14" s="13">
        <f t="shared" si="2"/>
        <v>0</v>
      </c>
      <c r="I14" s="13">
        <f t="shared" si="3"/>
        <v>0</v>
      </c>
    </row>
    <row r="15" spans="2:9" x14ac:dyDescent="0.25">
      <c r="B15" s="9">
        <v>12</v>
      </c>
      <c r="C15" s="10">
        <f>'[7]Estimasi NPHR'!C15</f>
        <v>4079.3199999999997</v>
      </c>
      <c r="D15" s="11">
        <f>'[7]Estimasi NPHR'!D15</f>
        <v>0</v>
      </c>
      <c r="E15" s="12">
        <f>'[7]Coal Blend'!BV183</f>
        <v>0.83333333333333337</v>
      </c>
      <c r="F15" s="12">
        <f t="shared" si="0"/>
        <v>0.16666666666666663</v>
      </c>
      <c r="G15" s="13">
        <f t="shared" si="1"/>
        <v>0</v>
      </c>
      <c r="H15" s="13">
        <f t="shared" si="2"/>
        <v>0</v>
      </c>
      <c r="I15" s="13">
        <f t="shared" si="3"/>
        <v>0</v>
      </c>
    </row>
    <row r="16" spans="2:9" x14ac:dyDescent="0.25">
      <c r="B16" s="9">
        <v>13</v>
      </c>
      <c r="C16" s="10">
        <f>'[7]Estimasi NPHR'!C16</f>
        <v>4350.6671571906363</v>
      </c>
      <c r="D16" s="11">
        <f>'[7]Estimasi NPHR'!D16</f>
        <v>0</v>
      </c>
      <c r="E16" s="12">
        <f>'[7]Coal Blend'!BV199</f>
        <v>0.6166666666666667</v>
      </c>
      <c r="F16" s="12">
        <f t="shared" si="0"/>
        <v>0.3833333333333333</v>
      </c>
      <c r="G16" s="13">
        <f t="shared" si="1"/>
        <v>0</v>
      </c>
      <c r="H16" s="13">
        <f t="shared" si="2"/>
        <v>0</v>
      </c>
      <c r="I16" s="13">
        <f t="shared" si="3"/>
        <v>0</v>
      </c>
    </row>
    <row r="17" spans="2:9" x14ac:dyDescent="0.25">
      <c r="B17" s="9">
        <v>14</v>
      </c>
      <c r="C17" s="10">
        <f>'[7]Estimasi NPHR'!C17</f>
        <v>4463.9323835368623</v>
      </c>
      <c r="D17" s="11">
        <f>'[7]Estimasi NPHR'!D17</f>
        <v>0</v>
      </c>
      <c r="E17" s="12">
        <f>'[7]Coal Blend'!BV215</f>
        <v>0.85</v>
      </c>
      <c r="F17" s="12">
        <f t="shared" si="0"/>
        <v>0.15000000000000002</v>
      </c>
      <c r="G17" s="13">
        <f t="shared" si="1"/>
        <v>0</v>
      </c>
      <c r="H17" s="13">
        <f t="shared" si="2"/>
        <v>0</v>
      </c>
      <c r="I17" s="13">
        <f t="shared" si="3"/>
        <v>0</v>
      </c>
    </row>
    <row r="18" spans="2:9" x14ac:dyDescent="0.25">
      <c r="B18" s="9">
        <v>15</v>
      </c>
      <c r="C18" s="10">
        <f>'[7]Estimasi NPHR'!C18</f>
        <v>4322.5068368617685</v>
      </c>
      <c r="D18" s="11">
        <f>'[7]Estimasi NPHR'!D18</f>
        <v>0</v>
      </c>
      <c r="E18" s="12">
        <f>'[7]Coal Blend'!BV231</f>
        <v>0.73333333333333339</v>
      </c>
      <c r="F18" s="12">
        <f t="shared" si="0"/>
        <v>0.26666666666666661</v>
      </c>
      <c r="G18" s="13">
        <f t="shared" si="1"/>
        <v>0</v>
      </c>
      <c r="H18" s="13">
        <f t="shared" si="2"/>
        <v>0</v>
      </c>
      <c r="I18" s="13">
        <f t="shared" si="3"/>
        <v>0</v>
      </c>
    </row>
    <row r="19" spans="2:9" x14ac:dyDescent="0.25">
      <c r="B19" s="9">
        <v>16</v>
      </c>
      <c r="C19" s="10">
        <f>'[7]Estimasi NPHR'!C19</f>
        <v>4474.3214285714284</v>
      </c>
      <c r="D19" s="11">
        <f>'[7]Estimasi NPHR'!D19</f>
        <v>0</v>
      </c>
      <c r="E19" s="12">
        <f>'[7]Coal Blend'!BV247</f>
        <v>0.75</v>
      </c>
      <c r="F19" s="12">
        <f t="shared" si="0"/>
        <v>0.25</v>
      </c>
      <c r="G19" s="13">
        <f t="shared" si="1"/>
        <v>0</v>
      </c>
      <c r="H19" s="13">
        <f t="shared" si="2"/>
        <v>0</v>
      </c>
      <c r="I19" s="13">
        <f t="shared" si="3"/>
        <v>0</v>
      </c>
    </row>
    <row r="20" spans="2:9" x14ac:dyDescent="0.25">
      <c r="B20" s="9">
        <v>17</v>
      </c>
      <c r="C20" s="10">
        <f>'[7]Estimasi NPHR'!C20</f>
        <v>4388.7461333333331</v>
      </c>
      <c r="D20" s="11">
        <f>'[7]Estimasi NPHR'!D20</f>
        <v>0</v>
      </c>
      <c r="E20" s="12">
        <f>'[7]Coal Blend'!BV263</f>
        <v>0.79999999999999993</v>
      </c>
      <c r="F20" s="12">
        <f t="shared" si="0"/>
        <v>0.20000000000000007</v>
      </c>
      <c r="G20" s="13">
        <f t="shared" si="1"/>
        <v>0</v>
      </c>
      <c r="H20" s="13">
        <f t="shared" si="2"/>
        <v>0</v>
      </c>
      <c r="I20" s="13">
        <f t="shared" si="3"/>
        <v>0</v>
      </c>
    </row>
    <row r="21" spans="2:9" x14ac:dyDescent="0.25">
      <c r="B21" s="9">
        <v>18</v>
      </c>
      <c r="C21" s="10">
        <f>'[7]Estimasi NPHR'!C21</f>
        <v>4492.1352941176474</v>
      </c>
      <c r="D21" s="11">
        <f>'[7]Estimasi NPHR'!D21</f>
        <v>0</v>
      </c>
      <c r="E21" s="12">
        <f>'[7]Coal Blend'!BV279</f>
        <v>0.68333333333333324</v>
      </c>
      <c r="F21" s="12">
        <f t="shared" si="0"/>
        <v>0.31666666666666676</v>
      </c>
      <c r="G21" s="13">
        <f t="shared" si="1"/>
        <v>0</v>
      </c>
      <c r="H21" s="13">
        <f t="shared" si="2"/>
        <v>0</v>
      </c>
      <c r="I21" s="13">
        <f t="shared" si="3"/>
        <v>0</v>
      </c>
    </row>
    <row r="22" spans="2:9" x14ac:dyDescent="0.25">
      <c r="B22" s="9">
        <v>19</v>
      </c>
      <c r="C22" s="10">
        <f>'[7]Estimasi NPHR'!C22</f>
        <v>4393.0379666666668</v>
      </c>
      <c r="D22" s="11">
        <f>'[7]Estimasi NPHR'!D22</f>
        <v>0</v>
      </c>
      <c r="E22" s="12">
        <f>'[7]Coal Blend'!BV295</f>
        <v>0.6333333333333333</v>
      </c>
      <c r="F22" s="12">
        <f t="shared" si="0"/>
        <v>0.3666666666666667</v>
      </c>
      <c r="G22" s="13">
        <f t="shared" si="1"/>
        <v>0</v>
      </c>
      <c r="H22" s="13">
        <f t="shared" si="2"/>
        <v>0</v>
      </c>
      <c r="I22" s="13">
        <f t="shared" si="3"/>
        <v>0</v>
      </c>
    </row>
    <row r="23" spans="2:9" x14ac:dyDescent="0.25">
      <c r="B23" s="9">
        <v>20</v>
      </c>
      <c r="C23" s="10">
        <f>'[7]Estimasi NPHR'!C23</f>
        <v>4313.8922385849983</v>
      </c>
      <c r="D23" s="11">
        <f>'[7]Estimasi NPHR'!D23</f>
        <v>0</v>
      </c>
      <c r="E23" s="12">
        <f>'[7]Coal Blend'!BV311</f>
        <v>0.58333333333333337</v>
      </c>
      <c r="F23" s="12">
        <f t="shared" si="0"/>
        <v>0.41666666666666663</v>
      </c>
      <c r="G23" s="13">
        <f t="shared" si="1"/>
        <v>0</v>
      </c>
      <c r="H23" s="13">
        <f t="shared" si="2"/>
        <v>0</v>
      </c>
      <c r="I23" s="13">
        <f t="shared" si="3"/>
        <v>0</v>
      </c>
    </row>
    <row r="24" spans="2:9" x14ac:dyDescent="0.25">
      <c r="B24" s="9">
        <v>21</v>
      </c>
      <c r="C24" s="10">
        <f>'[7]Estimasi NPHR'!C24</f>
        <v>4433.7469411764705</v>
      </c>
      <c r="D24" s="11">
        <f>'[7]Estimasi NPHR'!D24</f>
        <v>0</v>
      </c>
      <c r="E24" s="12">
        <f>'[7]Coal Blend'!BV327</f>
        <v>0.8833333333333333</v>
      </c>
      <c r="F24" s="12">
        <f t="shared" si="0"/>
        <v>0.1166666666666667</v>
      </c>
      <c r="G24" s="13">
        <f t="shared" si="1"/>
        <v>0</v>
      </c>
      <c r="H24" s="13">
        <f t="shared" si="2"/>
        <v>0</v>
      </c>
      <c r="I24" s="13">
        <f t="shared" si="3"/>
        <v>0</v>
      </c>
    </row>
    <row r="25" spans="2:9" x14ac:dyDescent="0.25">
      <c r="B25" s="9">
        <v>22</v>
      </c>
      <c r="C25" s="10">
        <f>'[7]Estimasi NPHR'!C25</f>
        <v>4344.3197918989226</v>
      </c>
      <c r="D25" s="11">
        <f>'[7]Estimasi NPHR'!D25</f>
        <v>0</v>
      </c>
      <c r="E25" s="12">
        <f>'[7]Coal Blend'!BV343</f>
        <v>0.45</v>
      </c>
      <c r="F25" s="12">
        <f t="shared" si="0"/>
        <v>0.55000000000000004</v>
      </c>
      <c r="G25" s="13">
        <f t="shared" si="1"/>
        <v>0</v>
      </c>
      <c r="H25" s="13">
        <f t="shared" si="2"/>
        <v>0</v>
      </c>
      <c r="I25" s="13">
        <f t="shared" si="3"/>
        <v>0</v>
      </c>
    </row>
    <row r="26" spans="2:9" x14ac:dyDescent="0.25">
      <c r="B26" s="9">
        <v>23</v>
      </c>
      <c r="C26" s="10">
        <f>'[7]Estimasi NPHR'!C26</f>
        <v>4384.3699513568872</v>
      </c>
      <c r="D26" s="11">
        <f>'[7]Estimasi NPHR'!D26</f>
        <v>0</v>
      </c>
      <c r="E26" s="12">
        <f>'[7]Coal Blend'!BV359</f>
        <v>0.56666666666666665</v>
      </c>
      <c r="F26" s="12">
        <f t="shared" si="0"/>
        <v>0.43333333333333335</v>
      </c>
      <c r="G26" s="13">
        <f t="shared" si="1"/>
        <v>0</v>
      </c>
      <c r="H26" s="13">
        <f t="shared" si="2"/>
        <v>0</v>
      </c>
      <c r="I26" s="13">
        <f t="shared" si="3"/>
        <v>0</v>
      </c>
    </row>
    <row r="27" spans="2:9" x14ac:dyDescent="0.25">
      <c r="B27" s="9">
        <v>24</v>
      </c>
      <c r="C27" s="10">
        <f>'[7]Estimasi NPHR'!C27</f>
        <v>4337.3353302611367</v>
      </c>
      <c r="D27" s="11">
        <f>'[7]Estimasi NPHR'!D27</f>
        <v>0</v>
      </c>
      <c r="E27" s="12">
        <f>'[7]Coal Blend'!BV375</f>
        <v>0.5</v>
      </c>
      <c r="F27" s="12">
        <f t="shared" si="0"/>
        <v>0.5</v>
      </c>
      <c r="G27" s="13">
        <f t="shared" si="1"/>
        <v>0</v>
      </c>
      <c r="H27" s="13">
        <f t="shared" si="2"/>
        <v>0</v>
      </c>
      <c r="I27" s="13">
        <f t="shared" si="3"/>
        <v>0</v>
      </c>
    </row>
    <row r="28" spans="2:9" x14ac:dyDescent="0.25">
      <c r="B28" s="9">
        <v>25</v>
      </c>
      <c r="C28" s="10">
        <f>'[7]Estimasi NPHR'!C28</f>
        <v>4343.7686782106775</v>
      </c>
      <c r="D28" s="11">
        <f>'[7]Estimasi NPHR'!D28</f>
        <v>0</v>
      </c>
      <c r="E28" s="12">
        <f>'[7]Coal Blend'!BV391</f>
        <v>0.45</v>
      </c>
      <c r="F28" s="12">
        <f t="shared" si="0"/>
        <v>0.55000000000000004</v>
      </c>
      <c r="G28" s="13">
        <f t="shared" si="1"/>
        <v>0</v>
      </c>
      <c r="H28" s="13">
        <f t="shared" si="2"/>
        <v>0</v>
      </c>
      <c r="I28" s="13">
        <f t="shared" si="3"/>
        <v>0</v>
      </c>
    </row>
    <row r="29" spans="2:9" x14ac:dyDescent="0.25">
      <c r="B29" s="9">
        <v>26</v>
      </c>
      <c r="C29" s="10">
        <f>'[7]Estimasi NPHR'!C29</f>
        <v>3291.985282710757</v>
      </c>
      <c r="D29" s="11">
        <f>'[7]Estimasi NPHR'!D29</f>
        <v>0</v>
      </c>
      <c r="E29" s="12">
        <f>'[7]Coal Blend'!BV407</f>
        <v>9.9999999999999992E-2</v>
      </c>
      <c r="F29" s="12">
        <f t="shared" si="0"/>
        <v>0.9</v>
      </c>
      <c r="G29" s="13">
        <f t="shared" si="1"/>
        <v>0</v>
      </c>
      <c r="H29" s="13">
        <f t="shared" si="2"/>
        <v>0</v>
      </c>
      <c r="I29" s="13">
        <f t="shared" si="3"/>
        <v>0</v>
      </c>
    </row>
    <row r="30" spans="2:9" x14ac:dyDescent="0.25">
      <c r="B30" s="9">
        <v>27</v>
      </c>
      <c r="C30" s="10">
        <f>'[7]Estimasi NPHR'!C30</f>
        <v>3986.3242105263162</v>
      </c>
      <c r="D30" s="11">
        <f>'[7]Estimasi NPHR'!D30</f>
        <v>0</v>
      </c>
      <c r="E30" s="12">
        <f>'[7]Coal Blend'!BV423</f>
        <v>8.3333333333333329E-2</v>
      </c>
      <c r="F30" s="12">
        <f t="shared" si="0"/>
        <v>0.91666666666666663</v>
      </c>
      <c r="G30" s="13">
        <f t="shared" si="1"/>
        <v>0</v>
      </c>
      <c r="H30" s="13">
        <f t="shared" si="2"/>
        <v>0</v>
      </c>
      <c r="I30" s="13">
        <f t="shared" si="3"/>
        <v>0</v>
      </c>
    </row>
    <row r="31" spans="2:9" x14ac:dyDescent="0.25">
      <c r="B31" s="9">
        <v>28</v>
      </c>
      <c r="C31" s="10">
        <f>'[7]Estimasi NPHR'!C31</f>
        <v>3878.6019860440156</v>
      </c>
      <c r="D31" s="11">
        <f>'[7]Estimasi NPHR'!D31</f>
        <v>0</v>
      </c>
      <c r="E31" s="12">
        <f>'[7]Coal Blend'!BV439</f>
        <v>8.3333333333333329E-2</v>
      </c>
      <c r="F31" s="12">
        <f t="shared" si="0"/>
        <v>0.91666666666666663</v>
      </c>
      <c r="G31" s="13">
        <f t="shared" si="1"/>
        <v>0</v>
      </c>
      <c r="H31" s="13">
        <f t="shared" si="2"/>
        <v>0</v>
      </c>
      <c r="I31" s="13">
        <f t="shared" si="3"/>
        <v>0</v>
      </c>
    </row>
    <row r="32" spans="2:9" x14ac:dyDescent="0.25">
      <c r="B32" s="9">
        <v>29</v>
      </c>
      <c r="C32" s="10">
        <f>'[7]Estimasi NPHR'!C32</f>
        <v>4334.144540229885</v>
      </c>
      <c r="D32" s="11">
        <f>'[7]Estimasi NPHR'!D32</f>
        <v>0</v>
      </c>
      <c r="E32" s="12">
        <f>'[7]Coal Blend'!BV455</f>
        <v>0.41666666666666669</v>
      </c>
      <c r="F32" s="12">
        <f t="shared" si="0"/>
        <v>0.58333333333333326</v>
      </c>
      <c r="G32" s="13">
        <f t="shared" si="1"/>
        <v>0</v>
      </c>
      <c r="H32" s="13">
        <f t="shared" si="2"/>
        <v>0</v>
      </c>
      <c r="I32" s="13">
        <f t="shared" si="3"/>
        <v>0</v>
      </c>
    </row>
    <row r="33" spans="2:9" ht="15.75" thickBot="1" x14ac:dyDescent="0.3">
      <c r="B33" s="9">
        <v>30</v>
      </c>
      <c r="C33" s="10">
        <f>'[7]Estimasi NPHR'!C33</f>
        <v>4237.2124031007752</v>
      </c>
      <c r="D33" s="11">
        <f>'[7]Estimasi NPHR'!D33</f>
        <v>0</v>
      </c>
      <c r="E33" s="12">
        <f>'[7]Coal Blend'!BV471</f>
        <v>0.13333333333333333</v>
      </c>
      <c r="F33" s="12">
        <f t="shared" si="0"/>
        <v>0.8666666666666667</v>
      </c>
      <c r="G33" s="13">
        <f t="shared" si="1"/>
        <v>0</v>
      </c>
      <c r="H33" s="13">
        <f t="shared" si="2"/>
        <v>0</v>
      </c>
      <c r="I33" s="13">
        <f t="shared" si="3"/>
        <v>0</v>
      </c>
    </row>
    <row r="34" spans="2:9" ht="15.75" thickBot="1" x14ac:dyDescent="0.3">
      <c r="B34" s="14"/>
      <c r="C34" s="15">
        <f>IF(D34=0,0,I34/D34)</f>
        <v>0</v>
      </c>
      <c r="D34" s="16">
        <f>SUM(D4:D33)</f>
        <v>0</v>
      </c>
      <c r="E34" s="16"/>
      <c r="F34" s="16"/>
      <c r="G34" s="16">
        <f>SUM(G4:G33)</f>
        <v>0</v>
      </c>
      <c r="H34" s="16">
        <f>SUM(H4:H33)</f>
        <v>0</v>
      </c>
      <c r="I34" s="17">
        <f>SUM(I4:I33)</f>
        <v>0</v>
      </c>
    </row>
    <row r="35" spans="2:9" x14ac:dyDescent="0.25">
      <c r="D35" s="18">
        <f>MAX(D4:D33)</f>
        <v>0</v>
      </c>
    </row>
  </sheetData>
  <mergeCells count="2">
    <mergeCell ref="B2:B3"/>
    <mergeCell ref="C2:I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16BF0-6BD6-4CB8-81F7-630C0C713977}">
  <dimension ref="B1:I35"/>
  <sheetViews>
    <sheetView workbookViewId="0">
      <selection activeCell="L36" sqref="L36"/>
    </sheetView>
  </sheetViews>
  <sheetFormatPr defaultRowHeight="15" x14ac:dyDescent="0.25"/>
  <cols>
    <col min="2" max="2" width="8.5703125" bestFit="1" customWidth="1"/>
    <col min="3" max="3" width="9.5703125" bestFit="1" customWidth="1"/>
    <col min="4" max="4" width="11.5703125" bestFit="1" customWidth="1"/>
    <col min="5" max="6" width="5.5703125" bestFit="1" customWidth="1"/>
    <col min="7" max="8" width="10.5703125" bestFit="1" customWidth="1"/>
    <col min="9" max="9" width="12.5703125" bestFit="1" customWidth="1"/>
  </cols>
  <sheetData>
    <row r="1" spans="2:9" ht="15.75" thickBot="1" x14ac:dyDescent="0.3"/>
    <row r="2" spans="2:9" ht="16.5" thickBot="1" x14ac:dyDescent="0.3">
      <c r="B2" s="1" t="s">
        <v>6</v>
      </c>
      <c r="C2" s="2" t="s">
        <v>5</v>
      </c>
      <c r="D2" s="3"/>
      <c r="E2" s="3"/>
      <c r="F2" s="3"/>
      <c r="G2" s="3"/>
      <c r="H2" s="3"/>
      <c r="I2" s="4"/>
    </row>
    <row r="3" spans="2:9" ht="16.5" thickBot="1" x14ac:dyDescent="0.3">
      <c r="B3" s="5"/>
      <c r="C3" s="6" t="s">
        <v>4</v>
      </c>
      <c r="D3" s="7" t="s">
        <v>0</v>
      </c>
      <c r="E3" s="8" t="s">
        <v>1</v>
      </c>
      <c r="F3" s="8" t="s">
        <v>2</v>
      </c>
      <c r="G3" s="8" t="s">
        <v>1</v>
      </c>
      <c r="H3" s="8" t="s">
        <v>2</v>
      </c>
      <c r="I3" s="8" t="s">
        <v>3</v>
      </c>
    </row>
    <row r="4" spans="2:9" x14ac:dyDescent="0.25">
      <c r="B4" s="9">
        <v>1</v>
      </c>
      <c r="C4" s="10">
        <f>'[8]Estimasi NPHR'!C4</f>
        <v>4139.1788666666662</v>
      </c>
      <c r="D4" s="11">
        <f>'[8]Estimasi NPHR'!D4</f>
        <v>0</v>
      </c>
      <c r="E4" s="12">
        <f>'[8]Coal Blend'!BV7</f>
        <v>0.15</v>
      </c>
      <c r="F4" s="12">
        <f>1-E4</f>
        <v>0.85</v>
      </c>
      <c r="G4" s="13">
        <f>_xlfn.IFNA(E4*D4,0)</f>
        <v>0</v>
      </c>
      <c r="H4" s="13">
        <f>_xlfn.IFNA(F4*D4,0)</f>
        <v>0</v>
      </c>
      <c r="I4" s="13">
        <f>C4*D4</f>
        <v>0</v>
      </c>
    </row>
    <row r="5" spans="2:9" x14ac:dyDescent="0.25">
      <c r="B5" s="9">
        <v>2</v>
      </c>
      <c r="C5" s="10">
        <f>'[8]Estimasi NPHR'!C5</f>
        <v>4139.6433739144577</v>
      </c>
      <c r="D5" s="11">
        <f>'[8]Estimasi NPHR'!D5</f>
        <v>0</v>
      </c>
      <c r="E5" s="12">
        <f>'[8]Coal Blend'!BV23</f>
        <v>0.26666666666666666</v>
      </c>
      <c r="F5" s="12">
        <f t="shared" ref="F5:F33" si="0">1-E5</f>
        <v>0.73333333333333339</v>
      </c>
      <c r="G5" s="13">
        <f t="shared" ref="G5:G33" si="1">_xlfn.IFNA(E5*D5,0)</f>
        <v>0</v>
      </c>
      <c r="H5" s="13">
        <f t="shared" ref="H5:H33" si="2">_xlfn.IFNA(F5*D5,0)</f>
        <v>0</v>
      </c>
      <c r="I5" s="13">
        <f t="shared" ref="I5:I33" si="3">C5*D5</f>
        <v>0</v>
      </c>
    </row>
    <row r="6" spans="2:9" x14ac:dyDescent="0.25">
      <c r="B6" s="9">
        <v>3</v>
      </c>
      <c r="C6" s="10">
        <f>'[8]Estimasi NPHR'!C6</f>
        <v>4238.7448301605082</v>
      </c>
      <c r="D6" s="11">
        <f>'[8]Estimasi NPHR'!D6</f>
        <v>0</v>
      </c>
      <c r="E6" s="12">
        <f>'[8]Coal Blend'!BV39</f>
        <v>0.28333333333333333</v>
      </c>
      <c r="F6" s="12">
        <f t="shared" si="0"/>
        <v>0.71666666666666667</v>
      </c>
      <c r="G6" s="13">
        <f t="shared" si="1"/>
        <v>0</v>
      </c>
      <c r="H6" s="13">
        <f t="shared" si="2"/>
        <v>0</v>
      </c>
      <c r="I6" s="13">
        <f t="shared" si="3"/>
        <v>0</v>
      </c>
    </row>
    <row r="7" spans="2:9" x14ac:dyDescent="0.25">
      <c r="B7" s="9">
        <v>4</v>
      </c>
      <c r="C7" s="10">
        <f>'[8]Estimasi NPHR'!C7</f>
        <v>4150.9530888888885</v>
      </c>
      <c r="D7" s="11">
        <f>'[8]Estimasi NPHR'!D7</f>
        <v>0</v>
      </c>
      <c r="E7" s="12">
        <f>'[8]Coal Blend'!BV55</f>
        <v>0.39999999999999997</v>
      </c>
      <c r="F7" s="12">
        <f t="shared" si="0"/>
        <v>0.60000000000000009</v>
      </c>
      <c r="G7" s="13">
        <f t="shared" si="1"/>
        <v>0</v>
      </c>
      <c r="H7" s="13">
        <f t="shared" si="2"/>
        <v>0</v>
      </c>
      <c r="I7" s="13">
        <f t="shared" si="3"/>
        <v>0</v>
      </c>
    </row>
    <row r="8" spans="2:9" x14ac:dyDescent="0.25">
      <c r="B8" s="9">
        <v>5</v>
      </c>
      <c r="C8" s="10">
        <f>'[8]Estimasi NPHR'!C8</f>
        <v>4213.8871489621488</v>
      </c>
      <c r="D8" s="11">
        <f>'[8]Estimasi NPHR'!D8</f>
        <v>0</v>
      </c>
      <c r="E8" s="12">
        <f>'[8]Coal Blend'!BV71</f>
        <v>0.44166666666666665</v>
      </c>
      <c r="F8" s="12">
        <f t="shared" si="0"/>
        <v>0.55833333333333335</v>
      </c>
      <c r="G8" s="13">
        <f t="shared" si="1"/>
        <v>0</v>
      </c>
      <c r="H8" s="13">
        <f t="shared" si="2"/>
        <v>0</v>
      </c>
      <c r="I8" s="13">
        <f t="shared" si="3"/>
        <v>0</v>
      </c>
    </row>
    <row r="9" spans="2:9" x14ac:dyDescent="0.25">
      <c r="B9" s="9">
        <v>6</v>
      </c>
      <c r="C9" s="10">
        <f>'[8]Estimasi NPHR'!C9</f>
        <v>4208.8370411070409</v>
      </c>
      <c r="D9" s="11">
        <f>'[8]Estimasi NPHR'!D9</f>
        <v>0</v>
      </c>
      <c r="E9" s="12">
        <f>'[8]Coal Blend'!BV87</f>
        <v>0.45</v>
      </c>
      <c r="F9" s="12">
        <f t="shared" si="0"/>
        <v>0.55000000000000004</v>
      </c>
      <c r="G9" s="13">
        <f t="shared" si="1"/>
        <v>0</v>
      </c>
      <c r="H9" s="13">
        <f t="shared" si="2"/>
        <v>0</v>
      </c>
      <c r="I9" s="13">
        <f t="shared" si="3"/>
        <v>0</v>
      </c>
    </row>
    <row r="10" spans="2:9" x14ac:dyDescent="0.25">
      <c r="B10" s="9">
        <v>7</v>
      </c>
      <c r="C10" s="10">
        <f>'[8]Estimasi NPHR'!C10</f>
        <v>4264.4782654127484</v>
      </c>
      <c r="D10" s="11">
        <f>'[8]Estimasi NPHR'!D10</f>
        <v>0</v>
      </c>
      <c r="E10" s="12">
        <f>'[8]Coal Blend'!BV103</f>
        <v>0.53333333333333333</v>
      </c>
      <c r="F10" s="12">
        <f t="shared" si="0"/>
        <v>0.46666666666666667</v>
      </c>
      <c r="G10" s="13">
        <f t="shared" si="1"/>
        <v>0</v>
      </c>
      <c r="H10" s="13">
        <f t="shared" si="2"/>
        <v>0</v>
      </c>
      <c r="I10" s="13">
        <f t="shared" si="3"/>
        <v>0</v>
      </c>
    </row>
    <row r="11" spans="2:9" x14ac:dyDescent="0.25">
      <c r="B11" s="9">
        <v>8</v>
      </c>
      <c r="C11" s="10">
        <f>'[8]Estimasi NPHR'!C11</f>
        <v>4328.9957446808512</v>
      </c>
      <c r="D11" s="11">
        <f>'[8]Estimasi NPHR'!D11</f>
        <v>0</v>
      </c>
      <c r="E11" s="12">
        <f>'[8]Coal Blend'!BV119</f>
        <v>0.61111111111111105</v>
      </c>
      <c r="F11" s="12">
        <f t="shared" si="0"/>
        <v>0.38888888888888895</v>
      </c>
      <c r="G11" s="13">
        <f t="shared" si="1"/>
        <v>0</v>
      </c>
      <c r="H11" s="13">
        <f t="shared" si="2"/>
        <v>0</v>
      </c>
      <c r="I11" s="13">
        <f t="shared" si="3"/>
        <v>0</v>
      </c>
    </row>
    <row r="12" spans="2:9" x14ac:dyDescent="0.25">
      <c r="B12" s="9">
        <v>9</v>
      </c>
      <c r="C12" s="10">
        <f>'[8]Estimasi NPHR'!C12</f>
        <v>4214.2072955974845</v>
      </c>
      <c r="D12" s="11">
        <f>'[8]Estimasi NPHR'!D12</f>
        <v>0</v>
      </c>
      <c r="E12" s="12">
        <f>'[8]Coal Blend'!BV135</f>
        <v>0.33333333333333331</v>
      </c>
      <c r="F12" s="12">
        <f t="shared" si="0"/>
        <v>0.66666666666666674</v>
      </c>
      <c r="G12" s="13">
        <f t="shared" si="1"/>
        <v>0</v>
      </c>
      <c r="H12" s="13">
        <f t="shared" si="2"/>
        <v>0</v>
      </c>
      <c r="I12" s="13">
        <f t="shared" si="3"/>
        <v>0</v>
      </c>
    </row>
    <row r="13" spans="2:9" x14ac:dyDescent="0.25">
      <c r="B13" s="9">
        <v>10</v>
      </c>
      <c r="C13" s="10">
        <f>'[8]Estimasi NPHR'!C13</f>
        <v>4113.4575833333338</v>
      </c>
      <c r="D13" s="11">
        <f>'[8]Estimasi NPHR'!D13</f>
        <v>0</v>
      </c>
      <c r="E13" s="12">
        <f>'[8]Coal Blend'!BV151</f>
        <v>0.31666666666666665</v>
      </c>
      <c r="F13" s="12">
        <f t="shared" si="0"/>
        <v>0.68333333333333335</v>
      </c>
      <c r="G13" s="13">
        <f t="shared" si="1"/>
        <v>0</v>
      </c>
      <c r="H13" s="13">
        <f t="shared" si="2"/>
        <v>0</v>
      </c>
      <c r="I13" s="13">
        <f t="shared" si="3"/>
        <v>0</v>
      </c>
    </row>
    <row r="14" spans="2:9" x14ac:dyDescent="0.25">
      <c r="B14" s="9">
        <v>11</v>
      </c>
      <c r="C14" s="10">
        <f>'[8]Estimasi NPHR'!C14</f>
        <v>4096.8714996446333</v>
      </c>
      <c r="D14" s="11">
        <f>'[8]Estimasi NPHR'!D14</f>
        <v>0</v>
      </c>
      <c r="E14" s="12">
        <f>'[8]Coal Blend'!BV167</f>
        <v>9.9999999999999992E-2</v>
      </c>
      <c r="F14" s="12">
        <f t="shared" si="0"/>
        <v>0.9</v>
      </c>
      <c r="G14" s="13">
        <f t="shared" si="1"/>
        <v>0</v>
      </c>
      <c r="H14" s="13">
        <f t="shared" si="2"/>
        <v>0</v>
      </c>
      <c r="I14" s="13">
        <f t="shared" si="3"/>
        <v>0</v>
      </c>
    </row>
    <row r="15" spans="2:9" x14ac:dyDescent="0.25">
      <c r="B15" s="9">
        <v>12</v>
      </c>
      <c r="C15" s="10">
        <f>'[8]Estimasi NPHR'!C15</f>
        <v>4159.4444154471548</v>
      </c>
      <c r="D15" s="11">
        <f>'[8]Estimasi NPHR'!D15</f>
        <v>0</v>
      </c>
      <c r="E15" s="12">
        <f>'[8]Coal Blend'!BV183</f>
        <v>0.33333333333333331</v>
      </c>
      <c r="F15" s="12">
        <f t="shared" si="0"/>
        <v>0.66666666666666674</v>
      </c>
      <c r="G15" s="13">
        <f t="shared" si="1"/>
        <v>0</v>
      </c>
      <c r="H15" s="13">
        <f t="shared" si="2"/>
        <v>0</v>
      </c>
      <c r="I15" s="13">
        <f t="shared" si="3"/>
        <v>0</v>
      </c>
    </row>
    <row r="16" spans="2:9" x14ac:dyDescent="0.25">
      <c r="B16" s="9">
        <v>13</v>
      </c>
      <c r="C16" s="10">
        <f>'[8]Estimasi NPHR'!C16</f>
        <v>4142.8889707226108</v>
      </c>
      <c r="D16" s="11">
        <f>'[8]Estimasi NPHR'!D16</f>
        <v>0</v>
      </c>
      <c r="E16" s="12">
        <f>'[8]Coal Blend'!BV199</f>
        <v>0.19999999999999998</v>
      </c>
      <c r="F16" s="12">
        <f t="shared" si="0"/>
        <v>0.8</v>
      </c>
      <c r="G16" s="13">
        <f t="shared" si="1"/>
        <v>0</v>
      </c>
      <c r="H16" s="13">
        <f t="shared" si="2"/>
        <v>0</v>
      </c>
      <c r="I16" s="13">
        <f t="shared" si="3"/>
        <v>0</v>
      </c>
    </row>
    <row r="17" spans="2:9" x14ac:dyDescent="0.25">
      <c r="B17" s="9">
        <v>14</v>
      </c>
      <c r="C17" s="10">
        <f>'[8]Estimasi NPHR'!C17</f>
        <v>4191.0087888888884</v>
      </c>
      <c r="D17" s="11">
        <f>'[8]Estimasi NPHR'!D17</f>
        <v>0</v>
      </c>
      <c r="E17" s="12">
        <f>'[8]Coal Blend'!BV215</f>
        <v>0.26666666666666666</v>
      </c>
      <c r="F17" s="12">
        <f t="shared" si="0"/>
        <v>0.73333333333333339</v>
      </c>
      <c r="G17" s="13">
        <f t="shared" si="1"/>
        <v>0</v>
      </c>
      <c r="H17" s="13">
        <f t="shared" si="2"/>
        <v>0</v>
      </c>
      <c r="I17" s="13">
        <f t="shared" si="3"/>
        <v>0</v>
      </c>
    </row>
    <row r="18" spans="2:9" x14ac:dyDescent="0.25">
      <c r="B18" s="9">
        <v>15</v>
      </c>
      <c r="C18" s="10">
        <f>'[8]Estimasi NPHR'!C18</f>
        <v>4215.6548540375379</v>
      </c>
      <c r="D18" s="11">
        <f>'[8]Estimasi NPHR'!D18</f>
        <v>0</v>
      </c>
      <c r="E18" s="12">
        <f>'[8]Coal Blend'!BV231</f>
        <v>0.3833333333333333</v>
      </c>
      <c r="F18" s="12">
        <f t="shared" si="0"/>
        <v>0.6166666666666667</v>
      </c>
      <c r="G18" s="13">
        <f t="shared" si="1"/>
        <v>0</v>
      </c>
      <c r="H18" s="13">
        <f t="shared" si="2"/>
        <v>0</v>
      </c>
      <c r="I18" s="13">
        <f t="shared" si="3"/>
        <v>0</v>
      </c>
    </row>
    <row r="19" spans="2:9" x14ac:dyDescent="0.25">
      <c r="B19" s="9">
        <v>16</v>
      </c>
      <c r="C19" s="10">
        <f>'[8]Estimasi NPHR'!C19</f>
        <v>4251.633964197531</v>
      </c>
      <c r="D19" s="11">
        <f>'[8]Estimasi NPHR'!D19</f>
        <v>0</v>
      </c>
      <c r="E19" s="12">
        <f>'[8]Coal Blend'!BV247</f>
        <v>0.3666666666666667</v>
      </c>
      <c r="F19" s="12">
        <f t="shared" si="0"/>
        <v>0.6333333333333333</v>
      </c>
      <c r="G19" s="13">
        <f t="shared" si="1"/>
        <v>0</v>
      </c>
      <c r="H19" s="13">
        <f t="shared" si="2"/>
        <v>0</v>
      </c>
      <c r="I19" s="13">
        <f t="shared" si="3"/>
        <v>0</v>
      </c>
    </row>
    <row r="20" spans="2:9" x14ac:dyDescent="0.25">
      <c r="B20" s="9">
        <v>17</v>
      </c>
      <c r="C20" s="10">
        <f>'[8]Estimasi NPHR'!C20</f>
        <v>4205.1154295724846</v>
      </c>
      <c r="D20" s="11">
        <f>'[8]Estimasi NPHR'!D20</f>
        <v>0</v>
      </c>
      <c r="E20" s="12">
        <f>'[8]Coal Blend'!BV263</f>
        <v>0.41666666666666669</v>
      </c>
      <c r="F20" s="12">
        <f t="shared" si="0"/>
        <v>0.58333333333333326</v>
      </c>
      <c r="G20" s="13">
        <f t="shared" si="1"/>
        <v>0</v>
      </c>
      <c r="H20" s="13">
        <f t="shared" si="2"/>
        <v>0</v>
      </c>
      <c r="I20" s="13">
        <f t="shared" si="3"/>
        <v>0</v>
      </c>
    </row>
    <row r="21" spans="2:9" x14ac:dyDescent="0.25">
      <c r="B21" s="9">
        <v>18</v>
      </c>
      <c r="C21" s="10">
        <f>'[8]Estimasi NPHR'!C21</f>
        <v>4357.1013319047624</v>
      </c>
      <c r="D21" s="11">
        <f>'[8]Estimasi NPHR'!D21</f>
        <v>0</v>
      </c>
      <c r="E21" s="12">
        <f>'[8]Coal Blend'!BV279</f>
        <v>0.54999999999999993</v>
      </c>
      <c r="F21" s="12">
        <f t="shared" si="0"/>
        <v>0.45000000000000007</v>
      </c>
      <c r="G21" s="13">
        <f t="shared" si="1"/>
        <v>0</v>
      </c>
      <c r="H21" s="13">
        <f t="shared" si="2"/>
        <v>0</v>
      </c>
      <c r="I21" s="13">
        <f t="shared" si="3"/>
        <v>0</v>
      </c>
    </row>
    <row r="22" spans="2:9" x14ac:dyDescent="0.25">
      <c r="B22" s="9">
        <v>19</v>
      </c>
      <c r="C22" s="10">
        <f>'[8]Estimasi NPHR'!C22</f>
        <v>4309.5305084745769</v>
      </c>
      <c r="D22" s="11">
        <f>'[8]Estimasi NPHR'!D22</f>
        <v>0</v>
      </c>
      <c r="E22" s="12">
        <f>'[8]Coal Blend'!BV295</f>
        <v>0.68333333333333324</v>
      </c>
      <c r="F22" s="12">
        <f t="shared" si="0"/>
        <v>0.31666666666666676</v>
      </c>
      <c r="G22" s="13">
        <f t="shared" si="1"/>
        <v>0</v>
      </c>
      <c r="H22" s="13">
        <f t="shared" si="2"/>
        <v>0</v>
      </c>
      <c r="I22" s="13">
        <f t="shared" si="3"/>
        <v>0</v>
      </c>
    </row>
    <row r="23" spans="2:9" x14ac:dyDescent="0.25">
      <c r="B23" s="9">
        <v>20</v>
      </c>
      <c r="C23" s="10">
        <f>'[8]Estimasi NPHR'!C23</f>
        <v>4492.2828070175447</v>
      </c>
      <c r="D23" s="11">
        <f>'[8]Estimasi NPHR'!D23</f>
        <v>0</v>
      </c>
      <c r="E23" s="12">
        <f>'[8]Coal Blend'!BV311</f>
        <v>0.65</v>
      </c>
      <c r="F23" s="12">
        <f t="shared" si="0"/>
        <v>0.35</v>
      </c>
      <c r="G23" s="13">
        <f t="shared" si="1"/>
        <v>0</v>
      </c>
      <c r="H23" s="13">
        <f t="shared" si="2"/>
        <v>0</v>
      </c>
      <c r="I23" s="13">
        <f t="shared" si="3"/>
        <v>0</v>
      </c>
    </row>
    <row r="24" spans="2:9" x14ac:dyDescent="0.25">
      <c r="B24" s="9">
        <v>21</v>
      </c>
      <c r="C24" s="10">
        <f>'[8]Estimasi NPHR'!C24</f>
        <v>4361.4580693815988</v>
      </c>
      <c r="D24" s="11">
        <f>'[8]Estimasi NPHR'!D24</f>
        <v>0</v>
      </c>
      <c r="E24" s="12">
        <f>'[8]Coal Blend'!BV327</f>
        <v>0.80000000000000016</v>
      </c>
      <c r="F24" s="12">
        <f t="shared" si="0"/>
        <v>0.19999999999999984</v>
      </c>
      <c r="G24" s="13">
        <f t="shared" si="1"/>
        <v>0</v>
      </c>
      <c r="H24" s="13">
        <f t="shared" si="2"/>
        <v>0</v>
      </c>
      <c r="I24" s="13">
        <f t="shared" si="3"/>
        <v>0</v>
      </c>
    </row>
    <row r="25" spans="2:9" x14ac:dyDescent="0.25">
      <c r="B25" s="9">
        <v>22</v>
      </c>
      <c r="C25" s="10">
        <f>'[8]Estimasi NPHR'!C25</f>
        <v>4269.3381532217145</v>
      </c>
      <c r="D25" s="11">
        <f>'[8]Estimasi NPHR'!D25</f>
        <v>0</v>
      </c>
      <c r="E25" s="12">
        <f>'[8]Coal Blend'!BV343</f>
        <v>0.41666666666666669</v>
      </c>
      <c r="F25" s="12">
        <f t="shared" si="0"/>
        <v>0.58333333333333326</v>
      </c>
      <c r="G25" s="13">
        <f t="shared" si="1"/>
        <v>0</v>
      </c>
      <c r="H25" s="13">
        <f t="shared" si="2"/>
        <v>0</v>
      </c>
      <c r="I25" s="13">
        <f t="shared" si="3"/>
        <v>0</v>
      </c>
    </row>
    <row r="26" spans="2:9" x14ac:dyDescent="0.25">
      <c r="B26" s="9">
        <v>23</v>
      </c>
      <c r="C26" s="10">
        <f>'[8]Estimasi NPHR'!C26</f>
        <v>4332.748507246376</v>
      </c>
      <c r="D26" s="11">
        <f>'[8]Estimasi NPHR'!D26</f>
        <v>0</v>
      </c>
      <c r="E26" s="12">
        <f>'[8]Coal Blend'!BV359</f>
        <v>9.9999999999999992E-2</v>
      </c>
      <c r="F26" s="12">
        <f t="shared" si="0"/>
        <v>0.9</v>
      </c>
      <c r="G26" s="13">
        <f t="shared" si="1"/>
        <v>0</v>
      </c>
      <c r="H26" s="13">
        <f t="shared" si="2"/>
        <v>0</v>
      </c>
      <c r="I26" s="13">
        <f t="shared" si="3"/>
        <v>0</v>
      </c>
    </row>
    <row r="27" spans="2:9" x14ac:dyDescent="0.25">
      <c r="B27" s="9">
        <v>24</v>
      </c>
      <c r="C27" s="10">
        <f>'[8]Estimasi NPHR'!C27</f>
        <v>4163.9939393939394</v>
      </c>
      <c r="D27" s="11">
        <f>'[8]Estimasi NPHR'!D27</f>
        <v>0</v>
      </c>
      <c r="E27" s="12">
        <f>'[8]Coal Blend'!BV375</f>
        <v>0.13333333333333333</v>
      </c>
      <c r="F27" s="12">
        <f t="shared" si="0"/>
        <v>0.8666666666666667</v>
      </c>
      <c r="G27" s="13">
        <f t="shared" si="1"/>
        <v>0</v>
      </c>
      <c r="H27" s="13">
        <f t="shared" si="2"/>
        <v>0</v>
      </c>
      <c r="I27" s="13">
        <f t="shared" si="3"/>
        <v>0</v>
      </c>
    </row>
    <row r="28" spans="2:9" x14ac:dyDescent="0.25">
      <c r="B28" s="9">
        <v>25</v>
      </c>
      <c r="C28" s="10">
        <f>'[8]Estimasi NPHR'!C28</f>
        <v>4173.9858731444001</v>
      </c>
      <c r="D28" s="11">
        <f>'[8]Estimasi NPHR'!D28</f>
        <v>0</v>
      </c>
      <c r="E28" s="12">
        <f>'[8]Coal Blend'!BV391</f>
        <v>0.20000000000000004</v>
      </c>
      <c r="F28" s="12">
        <f t="shared" si="0"/>
        <v>0.79999999999999993</v>
      </c>
      <c r="G28" s="13">
        <f t="shared" si="1"/>
        <v>0</v>
      </c>
      <c r="H28" s="13">
        <f t="shared" si="2"/>
        <v>0</v>
      </c>
      <c r="I28" s="13">
        <f t="shared" si="3"/>
        <v>0</v>
      </c>
    </row>
    <row r="29" spans="2:9" x14ac:dyDescent="0.25">
      <c r="B29" s="9">
        <v>26</v>
      </c>
      <c r="C29" s="10">
        <f>'[8]Estimasi NPHR'!C29</f>
        <v>4268.5902399235711</v>
      </c>
      <c r="D29" s="11">
        <f>'[8]Estimasi NPHR'!D29</f>
        <v>0</v>
      </c>
      <c r="E29" s="12">
        <f>'[8]Coal Blend'!BV407</f>
        <v>0.6</v>
      </c>
      <c r="F29" s="12">
        <f t="shared" si="0"/>
        <v>0.4</v>
      </c>
      <c r="G29" s="13">
        <f t="shared" si="1"/>
        <v>0</v>
      </c>
      <c r="H29" s="13">
        <f t="shared" si="2"/>
        <v>0</v>
      </c>
      <c r="I29" s="13">
        <f t="shared" si="3"/>
        <v>0</v>
      </c>
    </row>
    <row r="30" spans="2:9" x14ac:dyDescent="0.25">
      <c r="B30" s="9">
        <v>27</v>
      </c>
      <c r="C30" s="10">
        <f>'[8]Estimasi NPHR'!C30</f>
        <v>4301.383544303797</v>
      </c>
      <c r="D30" s="11">
        <f>'[8]Estimasi NPHR'!D30</f>
        <v>0</v>
      </c>
      <c r="E30" s="12">
        <f>'[8]Coal Blend'!BV423</f>
        <v>0.69999999999999984</v>
      </c>
      <c r="F30" s="12">
        <f t="shared" si="0"/>
        <v>0.30000000000000016</v>
      </c>
      <c r="G30" s="13">
        <f t="shared" si="1"/>
        <v>0</v>
      </c>
      <c r="H30" s="13">
        <f t="shared" si="2"/>
        <v>0</v>
      </c>
      <c r="I30" s="13">
        <f t="shared" si="3"/>
        <v>0</v>
      </c>
    </row>
    <row r="31" spans="2:9" x14ac:dyDescent="0.25">
      <c r="B31" s="9">
        <v>28</v>
      </c>
      <c r="C31" s="10">
        <f>'[8]Estimasi NPHR'!C31</f>
        <v>4338.4000000000005</v>
      </c>
      <c r="D31" s="11">
        <f>'[8]Estimasi NPHR'!D31</f>
        <v>0</v>
      </c>
      <c r="E31" s="12">
        <f>'[8]Coal Blend'!BV439</f>
        <v>0.40000000000000008</v>
      </c>
      <c r="F31" s="12">
        <f t="shared" si="0"/>
        <v>0.59999999999999987</v>
      </c>
      <c r="G31" s="13">
        <f t="shared" si="1"/>
        <v>0</v>
      </c>
      <c r="H31" s="13">
        <f t="shared" si="2"/>
        <v>0</v>
      </c>
      <c r="I31" s="13">
        <f t="shared" si="3"/>
        <v>0</v>
      </c>
    </row>
    <row r="32" spans="2:9" x14ac:dyDescent="0.25">
      <c r="B32" s="9">
        <v>29</v>
      </c>
      <c r="C32" s="10">
        <f>'[8]Estimasi NPHR'!C32</f>
        <v>4329.8443201654745</v>
      </c>
      <c r="D32" s="11">
        <f>'[8]Estimasi NPHR'!D32</f>
        <v>0</v>
      </c>
      <c r="E32" s="12">
        <f>'[8]Coal Blend'!BV455</f>
        <v>0.56666666666666665</v>
      </c>
      <c r="F32" s="12">
        <f t="shared" si="0"/>
        <v>0.43333333333333335</v>
      </c>
      <c r="G32" s="13">
        <f t="shared" si="1"/>
        <v>0</v>
      </c>
      <c r="H32" s="13">
        <f t="shared" si="2"/>
        <v>0</v>
      </c>
      <c r="I32" s="13">
        <f t="shared" si="3"/>
        <v>0</v>
      </c>
    </row>
    <row r="33" spans="2:9" ht="15.75" thickBot="1" x14ac:dyDescent="0.3">
      <c r="B33" s="9">
        <v>30</v>
      </c>
      <c r="C33" s="10">
        <f>'[8]Estimasi NPHR'!C33</f>
        <v>4271.1866254901952</v>
      </c>
      <c r="D33" s="11">
        <f>'[8]Estimasi NPHR'!D33</f>
        <v>0</v>
      </c>
      <c r="E33" s="12">
        <f>'[8]Coal Blend'!BV471</f>
        <v>0.45</v>
      </c>
      <c r="F33" s="12">
        <f t="shared" si="0"/>
        <v>0.55000000000000004</v>
      </c>
      <c r="G33" s="13">
        <f t="shared" si="1"/>
        <v>0</v>
      </c>
      <c r="H33" s="13">
        <f t="shared" si="2"/>
        <v>0</v>
      </c>
      <c r="I33" s="13">
        <f t="shared" si="3"/>
        <v>0</v>
      </c>
    </row>
    <row r="34" spans="2:9" ht="15.75" thickBot="1" x14ac:dyDescent="0.3">
      <c r="B34" s="14"/>
      <c r="C34" s="15">
        <f>IF(D34=0,0,I34/D34)</f>
        <v>0</v>
      </c>
      <c r="D34" s="16">
        <f>SUM(D4:D33)</f>
        <v>0</v>
      </c>
      <c r="E34" s="16"/>
      <c r="F34" s="16"/>
      <c r="G34" s="16">
        <f>SUM(G4:G33)</f>
        <v>0</v>
      </c>
      <c r="H34" s="16">
        <f>SUM(H4:H33)</f>
        <v>0</v>
      </c>
      <c r="I34" s="17">
        <f>SUM(I4:I33)</f>
        <v>0</v>
      </c>
    </row>
    <row r="35" spans="2:9" x14ac:dyDescent="0.25">
      <c r="D35" s="18">
        <f>MAX(D4:D33)</f>
        <v>0</v>
      </c>
    </row>
  </sheetData>
  <mergeCells count="2">
    <mergeCell ref="B2:B3"/>
    <mergeCell ref="C2:I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C5846-789F-46DF-B081-43780DBAEFF9}">
  <dimension ref="B1:I35"/>
  <sheetViews>
    <sheetView workbookViewId="0">
      <selection activeCell="N35" sqref="N35"/>
    </sheetView>
  </sheetViews>
  <sheetFormatPr defaultRowHeight="15" x14ac:dyDescent="0.25"/>
  <cols>
    <col min="2" max="2" width="8.5703125" bestFit="1" customWidth="1"/>
    <col min="3" max="3" width="9.5703125" bestFit="1" customWidth="1"/>
    <col min="4" max="4" width="11.5703125" bestFit="1" customWidth="1"/>
    <col min="5" max="6" width="5.5703125" bestFit="1" customWidth="1"/>
    <col min="7" max="8" width="10.5703125" bestFit="1" customWidth="1"/>
    <col min="9" max="9" width="12.5703125" bestFit="1" customWidth="1"/>
  </cols>
  <sheetData>
    <row r="1" spans="2:9" ht="15.75" thickBot="1" x14ac:dyDescent="0.3"/>
    <row r="2" spans="2:9" ht="16.5" thickBot="1" x14ac:dyDescent="0.3">
      <c r="B2" s="1" t="s">
        <v>6</v>
      </c>
      <c r="C2" s="2" t="s">
        <v>5</v>
      </c>
      <c r="D2" s="3"/>
      <c r="E2" s="3"/>
      <c r="F2" s="3"/>
      <c r="G2" s="3"/>
      <c r="H2" s="3"/>
      <c r="I2" s="4"/>
    </row>
    <row r="3" spans="2:9" ht="16.5" thickBot="1" x14ac:dyDescent="0.3">
      <c r="B3" s="5"/>
      <c r="C3" s="6" t="s">
        <v>4</v>
      </c>
      <c r="D3" s="7" t="s">
        <v>0</v>
      </c>
      <c r="E3" s="8" t="s">
        <v>1</v>
      </c>
      <c r="F3" s="8" t="s">
        <v>2</v>
      </c>
      <c r="G3" s="8" t="s">
        <v>1</v>
      </c>
      <c r="H3" s="8" t="s">
        <v>2</v>
      </c>
      <c r="I3" s="8" t="s">
        <v>3</v>
      </c>
    </row>
    <row r="4" spans="2:9" x14ac:dyDescent="0.25">
      <c r="B4" s="9">
        <v>1</v>
      </c>
      <c r="C4" s="10">
        <f>'[9]Estimasi NPHR'!C4</f>
        <v>4278.1972507132659</v>
      </c>
      <c r="D4" s="11">
        <f>'[9]Estimasi NPHR'!D4</f>
        <v>0</v>
      </c>
      <c r="E4" s="12">
        <f>'[9]Coal Blend'!BV7</f>
        <v>0.53333333333333333</v>
      </c>
      <c r="F4" s="12">
        <f>1-E4</f>
        <v>0.46666666666666667</v>
      </c>
      <c r="G4" s="13">
        <f>_xlfn.IFNA(E4*D4,0)</f>
        <v>0</v>
      </c>
      <c r="H4" s="13">
        <f>_xlfn.IFNA(F4*D4,0)</f>
        <v>0</v>
      </c>
      <c r="I4" s="13">
        <f>C4*D4</f>
        <v>0</v>
      </c>
    </row>
    <row r="5" spans="2:9" x14ac:dyDescent="0.25">
      <c r="B5" s="9">
        <v>2</v>
      </c>
      <c r="C5" s="10">
        <f>'[9]Estimasi NPHR'!C5</f>
        <v>4363.5941025641032</v>
      </c>
      <c r="D5" s="11">
        <f>'[9]Estimasi NPHR'!D5</f>
        <v>0</v>
      </c>
      <c r="E5" s="12">
        <f>'[9]Coal Blend'!BV23</f>
        <v>0.6</v>
      </c>
      <c r="F5" s="12">
        <f t="shared" ref="F5:F33" si="0">1-E5</f>
        <v>0.4</v>
      </c>
      <c r="G5" s="13">
        <f t="shared" ref="G5:G33" si="1">_xlfn.IFNA(E5*D5,0)</f>
        <v>0</v>
      </c>
      <c r="H5" s="13">
        <f t="shared" ref="H5:H33" si="2">_xlfn.IFNA(F5*D5,0)</f>
        <v>0</v>
      </c>
      <c r="I5" s="13">
        <f t="shared" ref="I5:I33" si="3">C5*D5</f>
        <v>0</v>
      </c>
    </row>
    <row r="6" spans="2:9" x14ac:dyDescent="0.25">
      <c r="B6" s="9">
        <v>3</v>
      </c>
      <c r="C6" s="10">
        <f>'[9]Estimasi NPHR'!C6</f>
        <v>3980.4446000000003</v>
      </c>
      <c r="D6" s="11">
        <f>'[9]Estimasi NPHR'!D6</f>
        <v>0</v>
      </c>
      <c r="E6" s="12">
        <f>'[9]Coal Blend'!BV39</f>
        <v>0.19999999999999998</v>
      </c>
      <c r="F6" s="12">
        <f t="shared" si="0"/>
        <v>0.8</v>
      </c>
      <c r="G6" s="13">
        <f t="shared" si="1"/>
        <v>0</v>
      </c>
      <c r="H6" s="13">
        <f t="shared" si="2"/>
        <v>0</v>
      </c>
      <c r="I6" s="13">
        <f t="shared" si="3"/>
        <v>0</v>
      </c>
    </row>
    <row r="7" spans="2:9" x14ac:dyDescent="0.25">
      <c r="B7" s="9">
        <v>4</v>
      </c>
      <c r="C7" s="10">
        <f>'[9]Estimasi NPHR'!C7</f>
        <v>4276.4240330291177</v>
      </c>
      <c r="D7" s="11">
        <f>'[9]Estimasi NPHR'!D7</f>
        <v>0</v>
      </c>
      <c r="E7" s="12">
        <f>'[9]Coal Blend'!BV55</f>
        <v>0.48333333333333334</v>
      </c>
      <c r="F7" s="12">
        <f t="shared" si="0"/>
        <v>0.51666666666666661</v>
      </c>
      <c r="G7" s="13">
        <f t="shared" si="1"/>
        <v>0</v>
      </c>
      <c r="H7" s="13">
        <f t="shared" si="2"/>
        <v>0</v>
      </c>
      <c r="I7" s="13">
        <f t="shared" si="3"/>
        <v>0</v>
      </c>
    </row>
    <row r="8" spans="2:9" x14ac:dyDescent="0.25">
      <c r="B8" s="9">
        <v>5</v>
      </c>
      <c r="C8" s="10">
        <f>'[9]Estimasi NPHR'!C8</f>
        <v>4391.3426821405546</v>
      </c>
      <c r="D8" s="11">
        <f>'[9]Estimasi NPHR'!D8</f>
        <v>0</v>
      </c>
      <c r="E8" s="12">
        <f>'[9]Coal Blend'!BV71</f>
        <v>0.68333333333333324</v>
      </c>
      <c r="F8" s="12">
        <f t="shared" si="0"/>
        <v>0.31666666666666676</v>
      </c>
      <c r="G8" s="13">
        <f t="shared" si="1"/>
        <v>0</v>
      </c>
      <c r="H8" s="13">
        <f t="shared" si="2"/>
        <v>0</v>
      </c>
      <c r="I8" s="13">
        <f t="shared" si="3"/>
        <v>0</v>
      </c>
    </row>
    <row r="9" spans="2:9" x14ac:dyDescent="0.25">
      <c r="B9" s="9">
        <v>6</v>
      </c>
      <c r="C9" s="10">
        <f>'[9]Estimasi NPHR'!C9</f>
        <v>4264.8914904761905</v>
      </c>
      <c r="D9" s="11">
        <f>'[9]Estimasi NPHR'!D9</f>
        <v>0</v>
      </c>
      <c r="E9" s="12">
        <f>'[9]Coal Blend'!BV87</f>
        <v>0.6166666666666667</v>
      </c>
      <c r="F9" s="12">
        <f t="shared" si="0"/>
        <v>0.3833333333333333</v>
      </c>
      <c r="G9" s="13">
        <f t="shared" si="1"/>
        <v>0</v>
      </c>
      <c r="H9" s="13">
        <f t="shared" si="2"/>
        <v>0</v>
      </c>
      <c r="I9" s="13">
        <f t="shared" si="3"/>
        <v>0</v>
      </c>
    </row>
    <row r="10" spans="2:9" x14ac:dyDescent="0.25">
      <c r="B10" s="9">
        <v>7</v>
      </c>
      <c r="C10" s="10">
        <f>'[9]Estimasi NPHR'!C10</f>
        <v>4265.5253081437904</v>
      </c>
      <c r="D10" s="11">
        <f>'[9]Estimasi NPHR'!D10</f>
        <v>0</v>
      </c>
      <c r="E10" s="12">
        <f>'[9]Coal Blend'!BV103</f>
        <v>0.52500000000000002</v>
      </c>
      <c r="F10" s="12">
        <f t="shared" si="0"/>
        <v>0.47499999999999998</v>
      </c>
      <c r="G10" s="13">
        <f t="shared" si="1"/>
        <v>0</v>
      </c>
      <c r="H10" s="13">
        <f t="shared" si="2"/>
        <v>0</v>
      </c>
      <c r="I10" s="13">
        <f t="shared" si="3"/>
        <v>0</v>
      </c>
    </row>
    <row r="11" spans="2:9" x14ac:dyDescent="0.25">
      <c r="B11" s="9">
        <v>8</v>
      </c>
      <c r="C11" s="10">
        <f>'[9]Estimasi NPHR'!C11</f>
        <v>4299.666666666667</v>
      </c>
      <c r="D11" s="11">
        <f>'[9]Estimasi NPHR'!D11</f>
        <v>0</v>
      </c>
      <c r="E11" s="12">
        <f>'[9]Coal Blend'!BV119</f>
        <v>0.5</v>
      </c>
      <c r="F11" s="12">
        <f t="shared" si="0"/>
        <v>0.5</v>
      </c>
      <c r="G11" s="13">
        <f t="shared" si="1"/>
        <v>0</v>
      </c>
      <c r="H11" s="13">
        <f t="shared" si="2"/>
        <v>0</v>
      </c>
      <c r="I11" s="13">
        <f t="shared" si="3"/>
        <v>0</v>
      </c>
    </row>
    <row r="12" spans="2:9" x14ac:dyDescent="0.25">
      <c r="B12" s="9">
        <v>9</v>
      </c>
      <c r="C12" s="10">
        <f>'[9]Estimasi NPHR'!C12</f>
        <v>4176.6104089285718</v>
      </c>
      <c r="D12" s="11">
        <f>'[9]Estimasi NPHR'!D12</f>
        <v>0</v>
      </c>
      <c r="E12" s="12">
        <f>'[9]Coal Blend'!BV135</f>
        <v>0.52500000000000002</v>
      </c>
      <c r="F12" s="12">
        <f t="shared" si="0"/>
        <v>0.47499999999999998</v>
      </c>
      <c r="G12" s="13">
        <f t="shared" si="1"/>
        <v>0</v>
      </c>
      <c r="H12" s="13">
        <f t="shared" si="2"/>
        <v>0</v>
      </c>
      <c r="I12" s="13">
        <f t="shared" si="3"/>
        <v>0</v>
      </c>
    </row>
    <row r="13" spans="2:9" x14ac:dyDescent="0.25">
      <c r="B13" s="9">
        <v>10</v>
      </c>
      <c r="C13" s="10">
        <f>'[9]Estimasi NPHR'!C13</f>
        <v>4232.7888706563708</v>
      </c>
      <c r="D13" s="11">
        <f>'[9]Estimasi NPHR'!D13</f>
        <v>0</v>
      </c>
      <c r="E13" s="12">
        <f>'[9]Coal Blend'!BV151</f>
        <v>0.49166666666666664</v>
      </c>
      <c r="F13" s="12">
        <f t="shared" si="0"/>
        <v>0.5083333333333333</v>
      </c>
      <c r="G13" s="13">
        <f t="shared" si="1"/>
        <v>0</v>
      </c>
      <c r="H13" s="13">
        <f t="shared" si="2"/>
        <v>0</v>
      </c>
      <c r="I13" s="13">
        <f t="shared" si="3"/>
        <v>0</v>
      </c>
    </row>
    <row r="14" spans="2:9" x14ac:dyDescent="0.25">
      <c r="B14" s="9">
        <v>11</v>
      </c>
      <c r="C14" s="10">
        <f>'[9]Estimasi NPHR'!C14</f>
        <v>4250.8953242835596</v>
      </c>
      <c r="D14" s="11">
        <f>'[9]Estimasi NPHR'!D14</f>
        <v>0</v>
      </c>
      <c r="E14" s="12">
        <f>'[9]Coal Blend'!BV167</f>
        <v>0.6</v>
      </c>
      <c r="F14" s="12">
        <f t="shared" si="0"/>
        <v>0.4</v>
      </c>
      <c r="G14" s="13">
        <f t="shared" si="1"/>
        <v>0</v>
      </c>
      <c r="H14" s="13">
        <f t="shared" si="2"/>
        <v>0</v>
      </c>
      <c r="I14" s="13">
        <f t="shared" si="3"/>
        <v>0</v>
      </c>
    </row>
    <row r="15" spans="2:9" x14ac:dyDescent="0.25">
      <c r="B15" s="9">
        <v>12</v>
      </c>
      <c r="C15" s="10">
        <f>'[9]Estimasi NPHR'!C15</f>
        <v>4331.2718363636359</v>
      </c>
      <c r="D15" s="11">
        <f>'[9]Estimasi NPHR'!D15</f>
        <v>0</v>
      </c>
      <c r="E15" s="12">
        <f>'[9]Coal Blend'!BV183</f>
        <v>0.76666666666666661</v>
      </c>
      <c r="F15" s="12">
        <f t="shared" si="0"/>
        <v>0.23333333333333339</v>
      </c>
      <c r="G15" s="13">
        <f t="shared" si="1"/>
        <v>0</v>
      </c>
      <c r="H15" s="13">
        <f t="shared" si="2"/>
        <v>0</v>
      </c>
      <c r="I15" s="13">
        <f t="shared" si="3"/>
        <v>0</v>
      </c>
    </row>
    <row r="16" spans="2:9" x14ac:dyDescent="0.25">
      <c r="B16" s="9">
        <v>13</v>
      </c>
      <c r="C16" s="10">
        <f>'[9]Estimasi NPHR'!C16</f>
        <v>4338.9802083333334</v>
      </c>
      <c r="D16" s="11">
        <f>'[9]Estimasi NPHR'!D16</f>
        <v>0</v>
      </c>
      <c r="E16" s="12">
        <f>'[9]Coal Blend'!BV199</f>
        <v>0.73333333333333339</v>
      </c>
      <c r="F16" s="12">
        <f t="shared" si="0"/>
        <v>0.26666666666666661</v>
      </c>
      <c r="G16" s="13">
        <f t="shared" si="1"/>
        <v>0</v>
      </c>
      <c r="H16" s="13">
        <f t="shared" si="2"/>
        <v>0</v>
      </c>
      <c r="I16" s="13">
        <f t="shared" si="3"/>
        <v>0</v>
      </c>
    </row>
    <row r="17" spans="2:9" x14ac:dyDescent="0.25">
      <c r="B17" s="9">
        <v>14</v>
      </c>
      <c r="C17" s="10">
        <f>'[9]Estimasi NPHR'!C17</f>
        <v>4178.86197251462</v>
      </c>
      <c r="D17" s="11">
        <f>'[9]Estimasi NPHR'!D17</f>
        <v>0</v>
      </c>
      <c r="E17" s="12">
        <f>'[9]Coal Blend'!BV215</f>
        <v>0.3666666666666667</v>
      </c>
      <c r="F17" s="12">
        <f t="shared" si="0"/>
        <v>0.6333333333333333</v>
      </c>
      <c r="G17" s="13">
        <f t="shared" si="1"/>
        <v>0</v>
      </c>
      <c r="H17" s="13">
        <f t="shared" si="2"/>
        <v>0</v>
      </c>
      <c r="I17" s="13">
        <f t="shared" si="3"/>
        <v>0</v>
      </c>
    </row>
    <row r="18" spans="2:9" x14ac:dyDescent="0.25">
      <c r="B18" s="9">
        <v>15</v>
      </c>
      <c r="C18" s="10">
        <f>'[9]Estimasi NPHR'!C18</f>
        <v>4165.3780166666666</v>
      </c>
      <c r="D18" s="11">
        <f>'[9]Estimasi NPHR'!D18</f>
        <v>0</v>
      </c>
      <c r="E18" s="12">
        <f>'[9]Coal Blend'!BV231</f>
        <v>0.45</v>
      </c>
      <c r="F18" s="12">
        <f t="shared" si="0"/>
        <v>0.55000000000000004</v>
      </c>
      <c r="G18" s="13">
        <f t="shared" si="1"/>
        <v>0</v>
      </c>
      <c r="H18" s="13">
        <f t="shared" si="2"/>
        <v>0</v>
      </c>
      <c r="I18" s="13">
        <f t="shared" si="3"/>
        <v>0</v>
      </c>
    </row>
    <row r="19" spans="2:9" x14ac:dyDescent="0.25">
      <c r="B19" s="9">
        <v>16</v>
      </c>
      <c r="C19" s="10">
        <f>'[9]Estimasi NPHR'!C19</f>
        <v>4370.7948615996456</v>
      </c>
      <c r="D19" s="11">
        <f>'[9]Estimasi NPHR'!D19</f>
        <v>0</v>
      </c>
      <c r="E19" s="12">
        <f>'[9]Coal Blend'!BV247</f>
        <v>0.85</v>
      </c>
      <c r="F19" s="12">
        <f t="shared" si="0"/>
        <v>0.15000000000000002</v>
      </c>
      <c r="G19" s="13">
        <f t="shared" si="1"/>
        <v>0</v>
      </c>
      <c r="H19" s="13">
        <f t="shared" si="2"/>
        <v>0</v>
      </c>
      <c r="I19" s="13">
        <f t="shared" si="3"/>
        <v>0</v>
      </c>
    </row>
    <row r="20" spans="2:9" x14ac:dyDescent="0.25">
      <c r="B20" s="9">
        <v>17</v>
      </c>
      <c r="C20" s="10">
        <f>'[9]Estimasi NPHR'!C20</f>
        <v>4235.9344845965243</v>
      </c>
      <c r="D20" s="11">
        <f>'[9]Estimasi NPHR'!D20</f>
        <v>0</v>
      </c>
      <c r="E20" s="12">
        <f>'[9]Coal Blend'!BV263</f>
        <v>0.71666666666666667</v>
      </c>
      <c r="F20" s="12">
        <f t="shared" si="0"/>
        <v>0.28333333333333333</v>
      </c>
      <c r="G20" s="13">
        <f t="shared" si="1"/>
        <v>0</v>
      </c>
      <c r="H20" s="13">
        <f t="shared" si="2"/>
        <v>0</v>
      </c>
      <c r="I20" s="13">
        <f t="shared" si="3"/>
        <v>0</v>
      </c>
    </row>
    <row r="21" spans="2:9" x14ac:dyDescent="0.25">
      <c r="B21" s="9">
        <v>18</v>
      </c>
      <c r="C21" s="10">
        <f>'[9]Estimasi NPHR'!C21</f>
        <v>4336.6514087497408</v>
      </c>
      <c r="D21" s="11">
        <f>'[9]Estimasi NPHR'!D21</f>
        <v>0</v>
      </c>
      <c r="E21" s="12">
        <f>'[9]Coal Blend'!BV279</f>
        <v>0.90833333333333333</v>
      </c>
      <c r="F21" s="12">
        <f t="shared" si="0"/>
        <v>9.1666666666666674E-2</v>
      </c>
      <c r="G21" s="13">
        <f t="shared" si="1"/>
        <v>0</v>
      </c>
      <c r="H21" s="13">
        <f t="shared" si="2"/>
        <v>0</v>
      </c>
      <c r="I21" s="13">
        <f t="shared" si="3"/>
        <v>0</v>
      </c>
    </row>
    <row r="22" spans="2:9" x14ac:dyDescent="0.25">
      <c r="B22" s="9">
        <v>19</v>
      </c>
      <c r="C22" s="10">
        <f>'[9]Estimasi NPHR'!C22</f>
        <v>4253.6535822988935</v>
      </c>
      <c r="D22" s="11">
        <f>'[9]Estimasi NPHR'!D22</f>
        <v>0</v>
      </c>
      <c r="E22" s="12">
        <f>'[9]Coal Blend'!BV295</f>
        <v>0.65</v>
      </c>
      <c r="F22" s="12">
        <f t="shared" si="0"/>
        <v>0.35</v>
      </c>
      <c r="G22" s="13">
        <f t="shared" si="1"/>
        <v>0</v>
      </c>
      <c r="H22" s="13">
        <f t="shared" si="2"/>
        <v>0</v>
      </c>
      <c r="I22" s="13">
        <f t="shared" si="3"/>
        <v>0</v>
      </c>
    </row>
    <row r="23" spans="2:9" x14ac:dyDescent="0.25">
      <c r="B23" s="9">
        <v>20</v>
      </c>
      <c r="C23" s="10">
        <f>'[9]Estimasi NPHR'!C23</f>
        <v>4257.110930601094</v>
      </c>
      <c r="D23" s="11">
        <f>'[9]Estimasi NPHR'!D23</f>
        <v>0</v>
      </c>
      <c r="E23" s="12">
        <f>'[9]Coal Blend'!BV311</f>
        <v>0.59166666666666667</v>
      </c>
      <c r="F23" s="12">
        <f t="shared" si="0"/>
        <v>0.40833333333333333</v>
      </c>
      <c r="G23" s="13">
        <f t="shared" si="1"/>
        <v>0</v>
      </c>
      <c r="H23" s="13">
        <f t="shared" si="2"/>
        <v>0</v>
      </c>
      <c r="I23" s="13">
        <f t="shared" si="3"/>
        <v>0</v>
      </c>
    </row>
    <row r="24" spans="2:9" x14ac:dyDescent="0.25">
      <c r="B24" s="9">
        <v>21</v>
      </c>
      <c r="C24" s="10">
        <f>'[9]Estimasi NPHR'!C24</f>
        <v>4270.2166993186584</v>
      </c>
      <c r="D24" s="11">
        <f>'[9]Estimasi NPHR'!D24</f>
        <v>0</v>
      </c>
      <c r="E24" s="12">
        <f>'[9]Coal Blend'!BV327</f>
        <v>0.48333333333333334</v>
      </c>
      <c r="F24" s="12">
        <f t="shared" si="0"/>
        <v>0.51666666666666661</v>
      </c>
      <c r="G24" s="13">
        <f t="shared" si="1"/>
        <v>0</v>
      </c>
      <c r="H24" s="13">
        <f t="shared" si="2"/>
        <v>0</v>
      </c>
      <c r="I24" s="13">
        <f t="shared" si="3"/>
        <v>0</v>
      </c>
    </row>
    <row r="25" spans="2:9" x14ac:dyDescent="0.25">
      <c r="B25" s="9">
        <v>22</v>
      </c>
      <c r="C25" s="10">
        <f>'[9]Estimasi NPHR'!C25</f>
        <v>4450.2569306205678</v>
      </c>
      <c r="D25" s="11">
        <f>'[9]Estimasi NPHR'!D25</f>
        <v>0</v>
      </c>
      <c r="E25" s="12">
        <f>'[9]Coal Blend'!BV343</f>
        <v>0.875</v>
      </c>
      <c r="F25" s="12">
        <f t="shared" si="0"/>
        <v>0.125</v>
      </c>
      <c r="G25" s="13">
        <f t="shared" si="1"/>
        <v>0</v>
      </c>
      <c r="H25" s="13">
        <f t="shared" si="2"/>
        <v>0</v>
      </c>
      <c r="I25" s="13">
        <f t="shared" si="3"/>
        <v>0</v>
      </c>
    </row>
    <row r="26" spans="2:9" x14ac:dyDescent="0.25">
      <c r="B26" s="9">
        <v>23</v>
      </c>
      <c r="C26" s="10">
        <f>'[9]Estimasi NPHR'!C26</f>
        <v>4306.6878848852903</v>
      </c>
      <c r="D26" s="11">
        <f>'[9]Estimasi NPHR'!D26</f>
        <v>0</v>
      </c>
      <c r="E26" s="12">
        <f>'[9]Coal Blend'!BV359</f>
        <v>0.56666666666666665</v>
      </c>
      <c r="F26" s="12">
        <f t="shared" si="0"/>
        <v>0.43333333333333335</v>
      </c>
      <c r="G26" s="13">
        <f t="shared" si="1"/>
        <v>0</v>
      </c>
      <c r="H26" s="13">
        <f t="shared" si="2"/>
        <v>0</v>
      </c>
      <c r="I26" s="13">
        <f t="shared" si="3"/>
        <v>0</v>
      </c>
    </row>
    <row r="27" spans="2:9" x14ac:dyDescent="0.25">
      <c r="B27" s="9">
        <v>24</v>
      </c>
      <c r="C27" s="10">
        <f>'[9]Estimasi NPHR'!C27</f>
        <v>4275.2857643020598</v>
      </c>
      <c r="D27" s="11">
        <f>'[9]Estimasi NPHR'!D27</f>
        <v>0</v>
      </c>
      <c r="E27" s="12">
        <f>'[9]Coal Blend'!BV375</f>
        <v>0.67499999999999993</v>
      </c>
      <c r="F27" s="12">
        <f t="shared" si="0"/>
        <v>0.32500000000000007</v>
      </c>
      <c r="G27" s="13">
        <f t="shared" si="1"/>
        <v>0</v>
      </c>
      <c r="H27" s="13">
        <f t="shared" si="2"/>
        <v>0</v>
      </c>
      <c r="I27" s="13">
        <f t="shared" si="3"/>
        <v>0</v>
      </c>
    </row>
    <row r="28" spans="2:9" x14ac:dyDescent="0.25">
      <c r="B28" s="9">
        <v>25</v>
      </c>
      <c r="C28" s="10">
        <f>'[9]Estimasi NPHR'!C28</f>
        <v>4284.0601351351352</v>
      </c>
      <c r="D28" s="11">
        <f>'[9]Estimasi NPHR'!D28</f>
        <v>0</v>
      </c>
      <c r="E28" s="12">
        <f>'[9]Coal Blend'!BV391</f>
        <v>0.60833333333333328</v>
      </c>
      <c r="F28" s="12">
        <f t="shared" si="0"/>
        <v>0.39166666666666672</v>
      </c>
      <c r="G28" s="13">
        <f t="shared" si="1"/>
        <v>0</v>
      </c>
      <c r="H28" s="13">
        <f t="shared" si="2"/>
        <v>0</v>
      </c>
      <c r="I28" s="13">
        <f t="shared" si="3"/>
        <v>0</v>
      </c>
    </row>
    <row r="29" spans="2:9" x14ac:dyDescent="0.25">
      <c r="B29" s="9">
        <v>26</v>
      </c>
      <c r="C29" s="10">
        <f>'[9]Estimasi NPHR'!C29</f>
        <v>4165.7285410108607</v>
      </c>
      <c r="D29" s="11">
        <f>'[9]Estimasi NPHR'!D29</f>
        <v>0</v>
      </c>
      <c r="E29" s="12">
        <f>'[9]Coal Blend'!BV407</f>
        <v>0.45833333333333331</v>
      </c>
      <c r="F29" s="12">
        <f t="shared" si="0"/>
        <v>0.54166666666666674</v>
      </c>
      <c r="G29" s="13">
        <f t="shared" si="1"/>
        <v>0</v>
      </c>
      <c r="H29" s="13">
        <f t="shared" si="2"/>
        <v>0</v>
      </c>
      <c r="I29" s="13">
        <f t="shared" si="3"/>
        <v>0</v>
      </c>
    </row>
    <row r="30" spans="2:9" x14ac:dyDescent="0.25">
      <c r="B30" s="9">
        <v>27</v>
      </c>
      <c r="C30" s="10">
        <f>'[9]Estimasi NPHR'!C30</f>
        <v>4049.9842057971005</v>
      </c>
      <c r="D30" s="11">
        <f>'[9]Estimasi NPHR'!D30</f>
        <v>0</v>
      </c>
      <c r="E30" s="12">
        <f>'[9]Coal Blend'!BV423</f>
        <v>0.125</v>
      </c>
      <c r="F30" s="12">
        <f t="shared" si="0"/>
        <v>0.875</v>
      </c>
      <c r="G30" s="13">
        <f t="shared" si="1"/>
        <v>0</v>
      </c>
      <c r="H30" s="13">
        <f t="shared" si="2"/>
        <v>0</v>
      </c>
      <c r="I30" s="13">
        <f t="shared" si="3"/>
        <v>0</v>
      </c>
    </row>
    <row r="31" spans="2:9" x14ac:dyDescent="0.25">
      <c r="B31" s="9">
        <v>28</v>
      </c>
      <c r="C31" s="10">
        <f>'[9]Estimasi NPHR'!C31</f>
        <v>4152.6096500000003</v>
      </c>
      <c r="D31" s="11">
        <f>'[9]Estimasi NPHR'!D31</f>
        <v>0</v>
      </c>
      <c r="E31" s="12">
        <f>'[9]Coal Blend'!BV439</f>
        <v>0.18333333333333335</v>
      </c>
      <c r="F31" s="12">
        <f t="shared" si="0"/>
        <v>0.81666666666666665</v>
      </c>
      <c r="G31" s="13">
        <f t="shared" si="1"/>
        <v>0</v>
      </c>
      <c r="H31" s="13">
        <f t="shared" si="2"/>
        <v>0</v>
      </c>
      <c r="I31" s="13">
        <f t="shared" si="3"/>
        <v>0</v>
      </c>
    </row>
    <row r="32" spans="2:9" x14ac:dyDescent="0.25">
      <c r="B32" s="9">
        <v>29</v>
      </c>
      <c r="C32" s="10">
        <f>'[9]Estimasi NPHR'!C32</f>
        <v>4249.1333333333332</v>
      </c>
      <c r="D32" s="11">
        <f>'[9]Estimasi NPHR'!D32</f>
        <v>0</v>
      </c>
      <c r="E32" s="12">
        <f>'[9]Coal Blend'!BV455</f>
        <v>0.53333333333333333</v>
      </c>
      <c r="F32" s="12">
        <f t="shared" si="0"/>
        <v>0.46666666666666667</v>
      </c>
      <c r="G32" s="13">
        <f t="shared" si="1"/>
        <v>0</v>
      </c>
      <c r="H32" s="13">
        <f t="shared" si="2"/>
        <v>0</v>
      </c>
      <c r="I32" s="13">
        <f t="shared" si="3"/>
        <v>0</v>
      </c>
    </row>
    <row r="33" spans="2:9" ht="15.75" thickBot="1" x14ac:dyDescent="0.3">
      <c r="B33" s="9">
        <v>30</v>
      </c>
      <c r="C33" s="10">
        <f>'[9]Estimasi NPHR'!C33</f>
        <v>4304.0505014111568</v>
      </c>
      <c r="D33" s="11">
        <f>'[9]Estimasi NPHR'!D33</f>
        <v>0</v>
      </c>
      <c r="E33" s="12">
        <f>'[9]Coal Blend'!BV471</f>
        <v>0.51666666666666672</v>
      </c>
      <c r="F33" s="12">
        <f t="shared" si="0"/>
        <v>0.48333333333333328</v>
      </c>
      <c r="G33" s="13">
        <f t="shared" si="1"/>
        <v>0</v>
      </c>
      <c r="H33" s="13">
        <f t="shared" si="2"/>
        <v>0</v>
      </c>
      <c r="I33" s="13">
        <f t="shared" si="3"/>
        <v>0</v>
      </c>
    </row>
    <row r="34" spans="2:9" ht="15.75" thickBot="1" x14ac:dyDescent="0.3">
      <c r="B34" s="14"/>
      <c r="C34" s="15">
        <f>IF(D34=0,0,I34/D34)</f>
        <v>0</v>
      </c>
      <c r="D34" s="16">
        <f>SUM(D4:D33)</f>
        <v>0</v>
      </c>
      <c r="E34" s="16"/>
      <c r="F34" s="16"/>
      <c r="G34" s="16">
        <f>SUM(G4:G33)</f>
        <v>0</v>
      </c>
      <c r="H34" s="16">
        <f>SUM(H4:H33)</f>
        <v>0</v>
      </c>
      <c r="I34" s="17">
        <f>SUM(I4:I33)</f>
        <v>0</v>
      </c>
    </row>
    <row r="35" spans="2:9" x14ac:dyDescent="0.25">
      <c r="D35" s="18">
        <f>MAX(D4:D33)</f>
        <v>0</v>
      </c>
    </row>
  </sheetData>
  <mergeCells count="2">
    <mergeCell ref="B2:B3"/>
    <mergeCell ref="C2:I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50C3C-0DEE-4A70-A94D-AAFB8E7032A2}">
  <dimension ref="B1:I35"/>
  <sheetViews>
    <sheetView workbookViewId="0">
      <selection activeCell="O36" sqref="O36"/>
    </sheetView>
  </sheetViews>
  <sheetFormatPr defaultRowHeight="15" x14ac:dyDescent="0.25"/>
  <cols>
    <col min="2" max="2" width="8.5703125" bestFit="1" customWidth="1"/>
    <col min="3" max="3" width="9.5703125" bestFit="1" customWidth="1"/>
    <col min="4" max="4" width="11.5703125" bestFit="1" customWidth="1"/>
    <col min="5" max="6" width="5.5703125" bestFit="1" customWidth="1"/>
    <col min="7" max="8" width="10.5703125" bestFit="1" customWidth="1"/>
    <col min="9" max="9" width="12.5703125" bestFit="1" customWidth="1"/>
  </cols>
  <sheetData>
    <row r="1" spans="2:9" ht="15.75" thickBot="1" x14ac:dyDescent="0.3"/>
    <row r="2" spans="2:9" ht="16.5" thickBot="1" x14ac:dyDescent="0.3">
      <c r="B2" s="1" t="s">
        <v>6</v>
      </c>
      <c r="C2" s="2" t="s">
        <v>5</v>
      </c>
      <c r="D2" s="3"/>
      <c r="E2" s="3"/>
      <c r="F2" s="3"/>
      <c r="G2" s="3"/>
      <c r="H2" s="3"/>
      <c r="I2" s="4"/>
    </row>
    <row r="3" spans="2:9" ht="16.5" thickBot="1" x14ac:dyDescent="0.3">
      <c r="B3" s="5"/>
      <c r="C3" s="6" t="s">
        <v>4</v>
      </c>
      <c r="D3" s="7" t="s">
        <v>0</v>
      </c>
      <c r="E3" s="8" t="s">
        <v>1</v>
      </c>
      <c r="F3" s="8" t="s">
        <v>2</v>
      </c>
      <c r="G3" s="8" t="s">
        <v>1</v>
      </c>
      <c r="H3" s="8" t="s">
        <v>2</v>
      </c>
      <c r="I3" s="8" t="s">
        <v>3</v>
      </c>
    </row>
    <row r="4" spans="2:9" x14ac:dyDescent="0.25">
      <c r="B4" s="9">
        <v>1</v>
      </c>
      <c r="C4" s="10">
        <f>'[10]Estimasi NPHR'!C4</f>
        <v>4138.5383403348551</v>
      </c>
      <c r="D4" s="11">
        <f>'[10]Estimasi NPHR'!D4</f>
        <v>0</v>
      </c>
      <c r="E4" s="12">
        <f>'[10]Coal Blend'!BV7</f>
        <v>5.8333333333333327E-2</v>
      </c>
      <c r="F4" s="12">
        <f>1-E4</f>
        <v>0.94166666666666665</v>
      </c>
      <c r="G4" s="13">
        <f>_xlfn.IFNA(E4*D4,0)</f>
        <v>0</v>
      </c>
      <c r="H4" s="13">
        <f>_xlfn.IFNA(F4*D4,0)</f>
        <v>0</v>
      </c>
      <c r="I4" s="13">
        <f>C4*D4</f>
        <v>0</v>
      </c>
    </row>
    <row r="5" spans="2:9" x14ac:dyDescent="0.25">
      <c r="B5" s="9">
        <v>2</v>
      </c>
      <c r="C5" s="10">
        <f>'[10]Estimasi NPHR'!C5</f>
        <v>4171.4394035087726</v>
      </c>
      <c r="D5" s="11">
        <f>'[10]Estimasi NPHR'!D5</f>
        <v>0</v>
      </c>
      <c r="E5" s="12">
        <f>'[10]Coal Blend'!BV23</f>
        <v>0.21666666666666667</v>
      </c>
      <c r="F5" s="12">
        <f t="shared" ref="F5:F33" si="0">1-E5</f>
        <v>0.78333333333333333</v>
      </c>
      <c r="G5" s="13">
        <f t="shared" ref="G5:G33" si="1">_xlfn.IFNA(E5*D5,0)</f>
        <v>0</v>
      </c>
      <c r="H5" s="13">
        <f t="shared" ref="H5:H33" si="2">_xlfn.IFNA(F5*D5,0)</f>
        <v>0</v>
      </c>
      <c r="I5" s="13">
        <f t="shared" ref="I5:I33" si="3">C5*D5</f>
        <v>0</v>
      </c>
    </row>
    <row r="6" spans="2:9" x14ac:dyDescent="0.25">
      <c r="B6" s="9">
        <v>3</v>
      </c>
      <c r="C6" s="10">
        <f>'[10]Estimasi NPHR'!C6</f>
        <v>4313.6857575757576</v>
      </c>
      <c r="D6" s="11">
        <f>'[10]Estimasi NPHR'!D6</f>
        <v>0</v>
      </c>
      <c r="E6" s="12">
        <f>'[10]Coal Blend'!BV39</f>
        <v>0.43333333333333335</v>
      </c>
      <c r="F6" s="12">
        <f t="shared" si="0"/>
        <v>0.56666666666666665</v>
      </c>
      <c r="G6" s="13">
        <f t="shared" si="1"/>
        <v>0</v>
      </c>
      <c r="H6" s="13">
        <f t="shared" si="2"/>
        <v>0</v>
      </c>
      <c r="I6" s="13">
        <f t="shared" si="3"/>
        <v>0</v>
      </c>
    </row>
    <row r="7" spans="2:9" x14ac:dyDescent="0.25">
      <c r="B7" s="9">
        <v>4</v>
      </c>
      <c r="C7" s="10">
        <f>'[10]Estimasi NPHR'!C7</f>
        <v>4360.7085017543859</v>
      </c>
      <c r="D7" s="11">
        <f>'[10]Estimasi NPHR'!D7</f>
        <v>0</v>
      </c>
      <c r="E7" s="12">
        <f>'[10]Coal Blend'!BV55</f>
        <v>0.48333333333333334</v>
      </c>
      <c r="F7" s="12">
        <f t="shared" si="0"/>
        <v>0.51666666666666661</v>
      </c>
      <c r="G7" s="13">
        <f t="shared" si="1"/>
        <v>0</v>
      </c>
      <c r="H7" s="13">
        <f t="shared" si="2"/>
        <v>0</v>
      </c>
      <c r="I7" s="13">
        <f t="shared" si="3"/>
        <v>0</v>
      </c>
    </row>
    <row r="8" spans="2:9" x14ac:dyDescent="0.25">
      <c r="B8" s="9">
        <v>5</v>
      </c>
      <c r="C8" s="10">
        <f>'[10]Estimasi NPHR'!C8</f>
        <v>4246.5915869218506</v>
      </c>
      <c r="D8" s="11">
        <f>'[10]Estimasi NPHR'!D8</f>
        <v>0</v>
      </c>
      <c r="E8" s="12">
        <f>'[10]Coal Blend'!BV71</f>
        <v>0.53333333333333333</v>
      </c>
      <c r="F8" s="12">
        <f t="shared" si="0"/>
        <v>0.46666666666666667</v>
      </c>
      <c r="G8" s="13">
        <f t="shared" si="1"/>
        <v>0</v>
      </c>
      <c r="H8" s="13">
        <f t="shared" si="2"/>
        <v>0</v>
      </c>
      <c r="I8" s="13">
        <f t="shared" si="3"/>
        <v>0</v>
      </c>
    </row>
    <row r="9" spans="2:9" x14ac:dyDescent="0.25">
      <c r="B9" s="9">
        <v>6</v>
      </c>
      <c r="C9" s="10">
        <f>'[10]Estimasi NPHR'!C9</f>
        <v>4313.1660467948723</v>
      </c>
      <c r="D9" s="11">
        <f>'[10]Estimasi NPHR'!D9</f>
        <v>0</v>
      </c>
      <c r="E9" s="12">
        <f>'[10]Coal Blend'!BV87</f>
        <v>0.29166666666666663</v>
      </c>
      <c r="F9" s="12">
        <f t="shared" si="0"/>
        <v>0.70833333333333337</v>
      </c>
      <c r="G9" s="13">
        <f t="shared" si="1"/>
        <v>0</v>
      </c>
      <c r="H9" s="13">
        <f t="shared" si="2"/>
        <v>0</v>
      </c>
      <c r="I9" s="13">
        <f t="shared" si="3"/>
        <v>0</v>
      </c>
    </row>
    <row r="10" spans="2:9" x14ac:dyDescent="0.25">
      <c r="B10" s="9">
        <v>7</v>
      </c>
      <c r="C10" s="10">
        <f>'[10]Estimasi NPHR'!C10</f>
        <v>4368.8545454545456</v>
      </c>
      <c r="D10" s="11">
        <f>'[10]Estimasi NPHR'!D10</f>
        <v>0</v>
      </c>
      <c r="E10" s="12">
        <f>'[10]Coal Blend'!BV103</f>
        <v>0.41666666666666669</v>
      </c>
      <c r="F10" s="12">
        <f t="shared" si="0"/>
        <v>0.58333333333333326</v>
      </c>
      <c r="G10" s="13">
        <f t="shared" si="1"/>
        <v>0</v>
      </c>
      <c r="H10" s="13">
        <f t="shared" si="2"/>
        <v>0</v>
      </c>
      <c r="I10" s="13">
        <f t="shared" si="3"/>
        <v>0</v>
      </c>
    </row>
    <row r="11" spans="2:9" x14ac:dyDescent="0.25">
      <c r="B11" s="9">
        <v>8</v>
      </c>
      <c r="C11" s="10">
        <f>'[10]Estimasi NPHR'!C11</f>
        <v>4316.2826241134744</v>
      </c>
      <c r="D11" s="11">
        <f>'[10]Estimasi NPHR'!D11</f>
        <v>0</v>
      </c>
      <c r="E11" s="12">
        <f>'[10]Coal Blend'!BV119</f>
        <v>0.375</v>
      </c>
      <c r="F11" s="12">
        <f t="shared" si="0"/>
        <v>0.625</v>
      </c>
      <c r="G11" s="13">
        <f t="shared" si="1"/>
        <v>0</v>
      </c>
      <c r="H11" s="13">
        <f t="shared" si="2"/>
        <v>0</v>
      </c>
      <c r="I11" s="13">
        <f t="shared" si="3"/>
        <v>0</v>
      </c>
    </row>
    <row r="12" spans="2:9" x14ac:dyDescent="0.25">
      <c r="B12" s="9">
        <v>9</v>
      </c>
      <c r="C12" s="10">
        <f>'[10]Estimasi NPHR'!C12</f>
        <v>4280.6628335649148</v>
      </c>
      <c r="D12" s="11">
        <f>'[10]Estimasi NPHR'!D12</f>
        <v>0</v>
      </c>
      <c r="E12" s="12">
        <f>'[10]Coal Blend'!BV135</f>
        <v>0.27499999999999997</v>
      </c>
      <c r="F12" s="12">
        <f t="shared" si="0"/>
        <v>0.72500000000000009</v>
      </c>
      <c r="G12" s="13">
        <f t="shared" si="1"/>
        <v>0</v>
      </c>
      <c r="H12" s="13">
        <f t="shared" si="2"/>
        <v>0</v>
      </c>
      <c r="I12" s="13">
        <f t="shared" si="3"/>
        <v>0</v>
      </c>
    </row>
    <row r="13" spans="2:9" x14ac:dyDescent="0.25">
      <c r="B13" s="9">
        <v>10</v>
      </c>
      <c r="C13" s="10">
        <f>'[10]Estimasi NPHR'!C13</f>
        <v>4163.9352294837054</v>
      </c>
      <c r="D13" s="11">
        <f>'[10]Estimasi NPHR'!D13</f>
        <v>0</v>
      </c>
      <c r="E13" s="12">
        <f>'[10]Coal Blend'!BV151</f>
        <v>0.31666666666666665</v>
      </c>
      <c r="F13" s="12">
        <f t="shared" si="0"/>
        <v>0.68333333333333335</v>
      </c>
      <c r="G13" s="13">
        <f t="shared" si="1"/>
        <v>0</v>
      </c>
      <c r="H13" s="13">
        <f t="shared" si="2"/>
        <v>0</v>
      </c>
      <c r="I13" s="13">
        <f t="shared" si="3"/>
        <v>0</v>
      </c>
    </row>
    <row r="14" spans="2:9" x14ac:dyDescent="0.25">
      <c r="B14" s="9">
        <v>11</v>
      </c>
      <c r="C14" s="10">
        <f>'[10]Estimasi NPHR'!C14</f>
        <v>4269.0162333333328</v>
      </c>
      <c r="D14" s="11">
        <f>'[10]Estimasi NPHR'!D14</f>
        <v>0</v>
      </c>
      <c r="E14" s="12">
        <f>'[10]Coal Blend'!BV167</f>
        <v>0.46666666666666662</v>
      </c>
      <c r="F14" s="12">
        <f t="shared" si="0"/>
        <v>0.53333333333333344</v>
      </c>
      <c r="G14" s="13">
        <f t="shared" si="1"/>
        <v>0</v>
      </c>
      <c r="H14" s="13">
        <f t="shared" si="2"/>
        <v>0</v>
      </c>
      <c r="I14" s="13">
        <f t="shared" si="3"/>
        <v>0</v>
      </c>
    </row>
    <row r="15" spans="2:9" x14ac:dyDescent="0.25">
      <c r="B15" s="9">
        <v>12</v>
      </c>
      <c r="C15" s="10">
        <f>'[10]Estimasi NPHR'!C15</f>
        <v>4373.8844736842102</v>
      </c>
      <c r="D15" s="11">
        <f>'[10]Estimasi NPHR'!D15</f>
        <v>0</v>
      </c>
      <c r="E15" s="12">
        <f>'[10]Coal Blend'!BV183</f>
        <v>0.59166666666666667</v>
      </c>
      <c r="F15" s="12">
        <f t="shared" si="0"/>
        <v>0.40833333333333333</v>
      </c>
      <c r="G15" s="13">
        <f t="shared" si="1"/>
        <v>0</v>
      </c>
      <c r="H15" s="13">
        <f t="shared" si="2"/>
        <v>0</v>
      </c>
      <c r="I15" s="13">
        <f t="shared" si="3"/>
        <v>0</v>
      </c>
    </row>
    <row r="16" spans="2:9" x14ac:dyDescent="0.25">
      <c r="B16" s="9">
        <v>13</v>
      </c>
      <c r="C16" s="10">
        <f>'[10]Estimasi NPHR'!C16</f>
        <v>4438.6409184766208</v>
      </c>
      <c r="D16" s="11">
        <f>'[10]Estimasi NPHR'!D16</f>
        <v>0</v>
      </c>
      <c r="E16" s="12">
        <f>'[10]Coal Blend'!BV199</f>
        <v>0.76666666666666661</v>
      </c>
      <c r="F16" s="12">
        <f t="shared" si="0"/>
        <v>0.23333333333333339</v>
      </c>
      <c r="G16" s="13">
        <f t="shared" si="1"/>
        <v>0</v>
      </c>
      <c r="H16" s="13">
        <f t="shared" si="2"/>
        <v>0</v>
      </c>
      <c r="I16" s="13">
        <f t="shared" si="3"/>
        <v>0</v>
      </c>
    </row>
    <row r="17" spans="2:9" x14ac:dyDescent="0.25">
      <c r="B17" s="9">
        <v>14</v>
      </c>
      <c r="C17" s="10">
        <f>'[10]Estimasi NPHR'!C17</f>
        <v>4547.5890922183507</v>
      </c>
      <c r="D17" s="11">
        <f>'[10]Estimasi NPHR'!D17</f>
        <v>0</v>
      </c>
      <c r="E17" s="12">
        <f>'[10]Coal Blend'!BV215</f>
        <v>0.76666666666666661</v>
      </c>
      <c r="F17" s="12">
        <f t="shared" si="0"/>
        <v>0.23333333333333339</v>
      </c>
      <c r="G17" s="13">
        <f t="shared" si="1"/>
        <v>0</v>
      </c>
      <c r="H17" s="13">
        <f t="shared" si="2"/>
        <v>0</v>
      </c>
      <c r="I17" s="13">
        <f t="shared" si="3"/>
        <v>0</v>
      </c>
    </row>
    <row r="18" spans="2:9" x14ac:dyDescent="0.25">
      <c r="B18" s="9">
        <v>15</v>
      </c>
      <c r="C18" s="10">
        <f>'[10]Estimasi NPHR'!C18</f>
        <v>4496.7346555555559</v>
      </c>
      <c r="D18" s="11">
        <f>'[10]Estimasi NPHR'!D18</f>
        <v>0</v>
      </c>
      <c r="E18" s="12">
        <f>'[10]Coal Blend'!BV231</f>
        <v>0.75</v>
      </c>
      <c r="F18" s="12">
        <f t="shared" si="0"/>
        <v>0.25</v>
      </c>
      <c r="G18" s="13">
        <f t="shared" si="1"/>
        <v>0</v>
      </c>
      <c r="H18" s="13">
        <f t="shared" si="2"/>
        <v>0</v>
      </c>
      <c r="I18" s="13">
        <f t="shared" si="3"/>
        <v>0</v>
      </c>
    </row>
    <row r="19" spans="2:9" x14ac:dyDescent="0.25">
      <c r="B19" s="9">
        <v>16</v>
      </c>
      <c r="C19" s="10">
        <f>'[10]Estimasi NPHR'!C19</f>
        <v>4376.856758417508</v>
      </c>
      <c r="D19" s="11">
        <f>'[10]Estimasi NPHR'!D19</f>
        <v>0</v>
      </c>
      <c r="E19" s="12">
        <f>'[10]Coal Blend'!BV247</f>
        <v>0.56666666666666665</v>
      </c>
      <c r="F19" s="12">
        <f t="shared" si="0"/>
        <v>0.43333333333333335</v>
      </c>
      <c r="G19" s="13">
        <f t="shared" si="1"/>
        <v>0</v>
      </c>
      <c r="H19" s="13">
        <f t="shared" si="2"/>
        <v>0</v>
      </c>
      <c r="I19" s="13">
        <f t="shared" si="3"/>
        <v>0</v>
      </c>
    </row>
    <row r="20" spans="2:9" x14ac:dyDescent="0.25">
      <c r="B20" s="9">
        <v>17</v>
      </c>
      <c r="C20" s="10">
        <f>'[10]Estimasi NPHR'!C20</f>
        <v>4464.4155399332303</v>
      </c>
      <c r="D20" s="11">
        <f>'[10]Estimasi NPHR'!D20</f>
        <v>0</v>
      </c>
      <c r="E20" s="12">
        <f>'[10]Coal Blend'!BV263</f>
        <v>0.85</v>
      </c>
      <c r="F20" s="12">
        <f t="shared" si="0"/>
        <v>0.15000000000000002</v>
      </c>
      <c r="G20" s="13">
        <f t="shared" si="1"/>
        <v>0</v>
      </c>
      <c r="H20" s="13">
        <f t="shared" si="2"/>
        <v>0</v>
      </c>
      <c r="I20" s="13">
        <f t="shared" si="3"/>
        <v>0</v>
      </c>
    </row>
    <row r="21" spans="2:9" x14ac:dyDescent="0.25">
      <c r="B21" s="9">
        <v>18</v>
      </c>
      <c r="C21" s="10">
        <f>'[10]Estimasi NPHR'!C21</f>
        <v>4324.9081999999999</v>
      </c>
      <c r="D21" s="11">
        <f>'[10]Estimasi NPHR'!D21</f>
        <v>0</v>
      </c>
      <c r="E21" s="12">
        <f>'[10]Coal Blend'!BV279</f>
        <v>0.46666666666666662</v>
      </c>
      <c r="F21" s="12">
        <f t="shared" si="0"/>
        <v>0.53333333333333344</v>
      </c>
      <c r="G21" s="13">
        <f t="shared" si="1"/>
        <v>0</v>
      </c>
      <c r="H21" s="13">
        <f t="shared" si="2"/>
        <v>0</v>
      </c>
      <c r="I21" s="13">
        <f t="shared" si="3"/>
        <v>0</v>
      </c>
    </row>
    <row r="22" spans="2:9" x14ac:dyDescent="0.25">
      <c r="B22" s="9">
        <v>19</v>
      </c>
      <c r="C22" s="10">
        <f>'[10]Estimasi NPHR'!C22</f>
        <v>4229.7174698658409</v>
      </c>
      <c r="D22" s="11">
        <f>'[10]Estimasi NPHR'!D22</f>
        <v>0</v>
      </c>
      <c r="E22" s="12">
        <f>'[10]Coal Blend'!BV295</f>
        <v>0.56666666666666676</v>
      </c>
      <c r="F22" s="12">
        <f t="shared" si="0"/>
        <v>0.43333333333333324</v>
      </c>
      <c r="G22" s="13">
        <f t="shared" si="1"/>
        <v>0</v>
      </c>
      <c r="H22" s="13">
        <f t="shared" si="2"/>
        <v>0</v>
      </c>
      <c r="I22" s="13">
        <f t="shared" si="3"/>
        <v>0</v>
      </c>
    </row>
    <row r="23" spans="2:9" x14ac:dyDescent="0.25">
      <c r="B23" s="9">
        <v>20</v>
      </c>
      <c r="C23" s="10">
        <f>'[10]Estimasi NPHR'!C23</f>
        <v>4408.2623188405805</v>
      </c>
      <c r="D23" s="11">
        <f>'[10]Estimasi NPHR'!D23</f>
        <v>0</v>
      </c>
      <c r="E23" s="12">
        <f>'[10]Coal Blend'!BV311</f>
        <v>0.83333333333333337</v>
      </c>
      <c r="F23" s="12">
        <f t="shared" si="0"/>
        <v>0.16666666666666663</v>
      </c>
      <c r="G23" s="13">
        <f t="shared" si="1"/>
        <v>0</v>
      </c>
      <c r="H23" s="13">
        <f t="shared" si="2"/>
        <v>0</v>
      </c>
      <c r="I23" s="13">
        <f t="shared" si="3"/>
        <v>0</v>
      </c>
    </row>
    <row r="24" spans="2:9" x14ac:dyDescent="0.25">
      <c r="B24" s="9">
        <v>21</v>
      </c>
      <c r="C24" s="10">
        <f>'[10]Estimasi NPHR'!C24</f>
        <v>4471.0897849462372</v>
      </c>
      <c r="D24" s="11">
        <f>'[10]Estimasi NPHR'!D24</f>
        <v>0</v>
      </c>
      <c r="E24" s="12">
        <f>'[10]Coal Blend'!BV327</f>
        <v>0.67499999999999993</v>
      </c>
      <c r="F24" s="12">
        <f t="shared" si="0"/>
        <v>0.32500000000000007</v>
      </c>
      <c r="G24" s="13">
        <f t="shared" si="1"/>
        <v>0</v>
      </c>
      <c r="H24" s="13">
        <f t="shared" si="2"/>
        <v>0</v>
      </c>
      <c r="I24" s="13">
        <f t="shared" si="3"/>
        <v>0</v>
      </c>
    </row>
    <row r="25" spans="2:9" x14ac:dyDescent="0.25">
      <c r="B25" s="9">
        <v>22</v>
      </c>
      <c r="C25" s="10">
        <f>'[10]Estimasi NPHR'!C25</f>
        <v>4341.1749111584932</v>
      </c>
      <c r="D25" s="11">
        <f>'[10]Estimasi NPHR'!D25</f>
        <v>0</v>
      </c>
      <c r="E25" s="12">
        <f>'[10]Coal Blend'!BV343</f>
        <v>0.48333333333333323</v>
      </c>
      <c r="F25" s="12">
        <f t="shared" si="0"/>
        <v>0.51666666666666683</v>
      </c>
      <c r="G25" s="13">
        <f t="shared" si="1"/>
        <v>0</v>
      </c>
      <c r="H25" s="13">
        <f t="shared" si="2"/>
        <v>0</v>
      </c>
      <c r="I25" s="13">
        <f t="shared" si="3"/>
        <v>0</v>
      </c>
    </row>
    <row r="26" spans="2:9" x14ac:dyDescent="0.25">
      <c r="B26" s="9">
        <v>23</v>
      </c>
      <c r="C26" s="10">
        <f>'[10]Estimasi NPHR'!C26</f>
        <v>4490.484951206985</v>
      </c>
      <c r="D26" s="11">
        <f>'[10]Estimasi NPHR'!D26</f>
        <v>0</v>
      </c>
      <c r="E26" s="12">
        <f>'[10]Coal Blend'!BV359</f>
        <v>0.6</v>
      </c>
      <c r="F26" s="12">
        <f t="shared" si="0"/>
        <v>0.4</v>
      </c>
      <c r="G26" s="13">
        <f t="shared" si="1"/>
        <v>0</v>
      </c>
      <c r="H26" s="13">
        <f t="shared" si="2"/>
        <v>0</v>
      </c>
      <c r="I26" s="13">
        <f t="shared" si="3"/>
        <v>0</v>
      </c>
    </row>
    <row r="27" spans="2:9" x14ac:dyDescent="0.25">
      <c r="B27" s="9">
        <v>24</v>
      </c>
      <c r="C27" s="10">
        <f>'[10]Estimasi NPHR'!C27</f>
        <v>4429.4285714285716</v>
      </c>
      <c r="D27" s="11">
        <f>'[10]Estimasi NPHR'!D27</f>
        <v>0</v>
      </c>
      <c r="E27" s="12">
        <f>'[10]Coal Blend'!BV375</f>
        <v>0.58333333333333337</v>
      </c>
      <c r="F27" s="12">
        <f t="shared" si="0"/>
        <v>0.41666666666666663</v>
      </c>
      <c r="G27" s="13">
        <f t="shared" si="1"/>
        <v>0</v>
      </c>
      <c r="H27" s="13">
        <f t="shared" si="2"/>
        <v>0</v>
      </c>
      <c r="I27" s="13">
        <f t="shared" si="3"/>
        <v>0</v>
      </c>
    </row>
    <row r="28" spans="2:9" x14ac:dyDescent="0.25">
      <c r="B28" s="9">
        <v>25</v>
      </c>
      <c r="C28" s="10">
        <f>'[10]Estimasi NPHR'!C28</f>
        <v>4332.5862535612532</v>
      </c>
      <c r="D28" s="11">
        <f>'[10]Estimasi NPHR'!D28</f>
        <v>0</v>
      </c>
      <c r="E28" s="12">
        <f>'[10]Coal Blend'!BV391</f>
        <v>0.58333333333333337</v>
      </c>
      <c r="F28" s="12">
        <f t="shared" si="0"/>
        <v>0.41666666666666663</v>
      </c>
      <c r="G28" s="13">
        <f t="shared" si="1"/>
        <v>0</v>
      </c>
      <c r="H28" s="13">
        <f t="shared" si="2"/>
        <v>0</v>
      </c>
      <c r="I28" s="13">
        <f t="shared" si="3"/>
        <v>0</v>
      </c>
    </row>
    <row r="29" spans="2:9" x14ac:dyDescent="0.25">
      <c r="B29" s="9">
        <v>26</v>
      </c>
      <c r="C29" s="10">
        <f>'[10]Estimasi NPHR'!C29</f>
        <v>4345.1180867721878</v>
      </c>
      <c r="D29" s="11">
        <f>'[10]Estimasi NPHR'!D29</f>
        <v>0</v>
      </c>
      <c r="E29" s="12">
        <f>'[10]Coal Blend'!BV407</f>
        <v>0.46666666666666662</v>
      </c>
      <c r="F29" s="12">
        <f t="shared" si="0"/>
        <v>0.53333333333333344</v>
      </c>
      <c r="G29" s="13">
        <f t="shared" si="1"/>
        <v>0</v>
      </c>
      <c r="H29" s="13">
        <f t="shared" si="2"/>
        <v>0</v>
      </c>
      <c r="I29" s="13">
        <f t="shared" si="3"/>
        <v>0</v>
      </c>
    </row>
    <row r="30" spans="2:9" x14ac:dyDescent="0.25">
      <c r="B30" s="9">
        <v>27</v>
      </c>
      <c r="C30" s="10">
        <f>'[10]Estimasi NPHR'!C30</f>
        <v>4500.5590909090906</v>
      </c>
      <c r="D30" s="11">
        <f>'[10]Estimasi NPHR'!D30</f>
        <v>0</v>
      </c>
      <c r="E30" s="12">
        <f>'[10]Coal Blend'!BV423</f>
        <v>0.53333333333333333</v>
      </c>
      <c r="F30" s="12">
        <f t="shared" si="0"/>
        <v>0.46666666666666667</v>
      </c>
      <c r="G30" s="13">
        <f t="shared" si="1"/>
        <v>0</v>
      </c>
      <c r="H30" s="13">
        <f t="shared" si="2"/>
        <v>0</v>
      </c>
      <c r="I30" s="13">
        <f t="shared" si="3"/>
        <v>0</v>
      </c>
    </row>
    <row r="31" spans="2:9" x14ac:dyDescent="0.25">
      <c r="B31" s="9">
        <v>28</v>
      </c>
      <c r="C31" s="10">
        <f>'[10]Estimasi NPHR'!C31</f>
        <v>4313.5439097744356</v>
      </c>
      <c r="D31" s="11">
        <f>'[10]Estimasi NPHR'!D31</f>
        <v>0</v>
      </c>
      <c r="E31" s="12">
        <f>'[10]Coal Blend'!BV439</f>
        <v>0.26666666666666666</v>
      </c>
      <c r="F31" s="12">
        <f t="shared" si="0"/>
        <v>0.73333333333333339</v>
      </c>
      <c r="G31" s="13">
        <f t="shared" si="1"/>
        <v>0</v>
      </c>
      <c r="H31" s="13">
        <f t="shared" si="2"/>
        <v>0</v>
      </c>
      <c r="I31" s="13">
        <f t="shared" si="3"/>
        <v>0</v>
      </c>
    </row>
    <row r="32" spans="2:9" x14ac:dyDescent="0.25">
      <c r="B32" s="9">
        <v>29</v>
      </c>
      <c r="C32" s="10">
        <f>'[10]Estimasi NPHR'!C32</f>
        <v>4436.395833333333</v>
      </c>
      <c r="D32" s="11">
        <f>'[10]Estimasi NPHR'!D32</f>
        <v>0</v>
      </c>
      <c r="E32" s="12">
        <f>'[10]Coal Blend'!BV455</f>
        <v>0.75</v>
      </c>
      <c r="F32" s="12">
        <f t="shared" si="0"/>
        <v>0.25</v>
      </c>
      <c r="G32" s="13">
        <f t="shared" si="1"/>
        <v>0</v>
      </c>
      <c r="H32" s="13">
        <f t="shared" si="2"/>
        <v>0</v>
      </c>
      <c r="I32" s="13">
        <f t="shared" si="3"/>
        <v>0</v>
      </c>
    </row>
    <row r="33" spans="2:9" ht="15.75" thickBot="1" x14ac:dyDescent="0.3">
      <c r="B33" s="9">
        <v>30</v>
      </c>
      <c r="C33" s="10">
        <f>'[10]Estimasi NPHR'!C33</f>
        <v>4408.1364105603443</v>
      </c>
      <c r="D33" s="11">
        <f>'[10]Estimasi NPHR'!D33</f>
        <v>0</v>
      </c>
      <c r="E33" s="12">
        <f>'[10]Coal Blend'!BV471</f>
        <v>0.31666666666666665</v>
      </c>
      <c r="F33" s="12">
        <f t="shared" si="0"/>
        <v>0.68333333333333335</v>
      </c>
      <c r="G33" s="13">
        <f t="shared" si="1"/>
        <v>0</v>
      </c>
      <c r="H33" s="13">
        <f t="shared" si="2"/>
        <v>0</v>
      </c>
      <c r="I33" s="13">
        <f t="shared" si="3"/>
        <v>0</v>
      </c>
    </row>
    <row r="34" spans="2:9" ht="15.75" thickBot="1" x14ac:dyDescent="0.3">
      <c r="B34" s="14"/>
      <c r="C34" s="15">
        <f>IF(D34=0,0,I34/D34)</f>
        <v>0</v>
      </c>
      <c r="D34" s="16">
        <f>SUM(D4:D33)</f>
        <v>0</v>
      </c>
      <c r="E34" s="16"/>
      <c r="F34" s="16"/>
      <c r="G34" s="16">
        <f>SUM(G4:G33)</f>
        <v>0</v>
      </c>
      <c r="H34" s="16">
        <f>SUM(H4:H33)</f>
        <v>0</v>
      </c>
      <c r="I34" s="17">
        <f>SUM(I4:I33)</f>
        <v>0</v>
      </c>
    </row>
    <row r="35" spans="2:9" x14ac:dyDescent="0.25">
      <c r="D35" s="18">
        <f>MAX(D4:D33)</f>
        <v>0</v>
      </c>
    </row>
  </sheetData>
  <mergeCells count="2">
    <mergeCell ref="B2:B3"/>
    <mergeCell ref="C2:I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8F700-3B91-4EF2-9F35-8E8AEA35BE4C}">
  <dimension ref="B1:I35"/>
  <sheetViews>
    <sheetView workbookViewId="0">
      <selection activeCell="P36" sqref="P36"/>
    </sheetView>
  </sheetViews>
  <sheetFormatPr defaultRowHeight="15" x14ac:dyDescent="0.25"/>
  <cols>
    <col min="2" max="2" width="8.5703125" bestFit="1" customWidth="1"/>
    <col min="3" max="3" width="9.5703125" bestFit="1" customWidth="1"/>
    <col min="4" max="4" width="11.5703125" bestFit="1" customWidth="1"/>
    <col min="5" max="6" width="5.5703125" bestFit="1" customWidth="1"/>
    <col min="7" max="8" width="10.5703125" bestFit="1" customWidth="1"/>
    <col min="9" max="9" width="12.5703125" bestFit="1" customWidth="1"/>
  </cols>
  <sheetData>
    <row r="1" spans="2:9" ht="15.75" thickBot="1" x14ac:dyDescent="0.3"/>
    <row r="2" spans="2:9" ht="16.5" thickBot="1" x14ac:dyDescent="0.3">
      <c r="B2" s="1" t="s">
        <v>6</v>
      </c>
      <c r="C2" s="2" t="s">
        <v>5</v>
      </c>
      <c r="D2" s="3"/>
      <c r="E2" s="3"/>
      <c r="F2" s="3"/>
      <c r="G2" s="3"/>
      <c r="H2" s="3"/>
      <c r="I2" s="4"/>
    </row>
    <row r="3" spans="2:9" ht="16.5" thickBot="1" x14ac:dyDescent="0.3">
      <c r="B3" s="5"/>
      <c r="C3" s="6" t="s">
        <v>4</v>
      </c>
      <c r="D3" s="7" t="s">
        <v>0</v>
      </c>
      <c r="E3" s="8" t="s">
        <v>1</v>
      </c>
      <c r="F3" s="8" t="s">
        <v>2</v>
      </c>
      <c r="G3" s="8" t="s">
        <v>1</v>
      </c>
      <c r="H3" s="8" t="s">
        <v>2</v>
      </c>
      <c r="I3" s="8" t="s">
        <v>3</v>
      </c>
    </row>
    <row r="4" spans="2:9" x14ac:dyDescent="0.25">
      <c r="B4" s="9">
        <v>1</v>
      </c>
      <c r="C4" s="10">
        <f>'[11]Estimasi NPHR'!C4</f>
        <v>4302.9469960172128</v>
      </c>
      <c r="D4" s="11">
        <f>'[11]Estimasi NPHR'!D4</f>
        <v>0</v>
      </c>
      <c r="E4" s="12">
        <f>'[11]Coal Blend'!BV7</f>
        <v>0.4916666666666667</v>
      </c>
      <c r="F4" s="12">
        <f>1-E4</f>
        <v>0.5083333333333333</v>
      </c>
      <c r="G4" s="13">
        <f>_xlfn.IFNA(E4*D4,0)</f>
        <v>0</v>
      </c>
      <c r="H4" s="13">
        <f>_xlfn.IFNA(F4*D4,0)</f>
        <v>0</v>
      </c>
      <c r="I4" s="13">
        <f>C4*D4</f>
        <v>0</v>
      </c>
    </row>
    <row r="5" spans="2:9" x14ac:dyDescent="0.25">
      <c r="B5" s="9">
        <v>2</v>
      </c>
      <c r="C5" s="10">
        <f>'[11]Estimasi NPHR'!C5</f>
        <v>4315.0362842360382</v>
      </c>
      <c r="D5" s="11">
        <f>'[11]Estimasi NPHR'!D5</f>
        <v>0</v>
      </c>
      <c r="E5" s="12">
        <f>'[11]Coal Blend'!BV23</f>
        <v>0.65833333333333333</v>
      </c>
      <c r="F5" s="12">
        <f t="shared" ref="F5:F33" si="0">1-E5</f>
        <v>0.34166666666666667</v>
      </c>
      <c r="G5" s="13">
        <f t="shared" ref="G5:G33" si="1">_xlfn.IFNA(E5*D5,0)</f>
        <v>0</v>
      </c>
      <c r="H5" s="13">
        <f t="shared" ref="H5:H33" si="2">_xlfn.IFNA(F5*D5,0)</f>
        <v>0</v>
      </c>
      <c r="I5" s="13">
        <f t="shared" ref="I5:I33" si="3">C5*D5</f>
        <v>0</v>
      </c>
    </row>
    <row r="6" spans="2:9" x14ac:dyDescent="0.25">
      <c r="B6" s="9">
        <v>3</v>
      </c>
      <c r="C6" s="10">
        <f>'[11]Estimasi NPHR'!C6</f>
        <v>4371.5365837191357</v>
      </c>
      <c r="D6" s="11">
        <f>'[11]Estimasi NPHR'!D6</f>
        <v>0</v>
      </c>
      <c r="E6" s="12">
        <f>'[11]Coal Blend'!BV39</f>
        <v>0.79999999999999993</v>
      </c>
      <c r="F6" s="12">
        <f t="shared" si="0"/>
        <v>0.20000000000000007</v>
      </c>
      <c r="G6" s="13">
        <f t="shared" si="1"/>
        <v>0</v>
      </c>
      <c r="H6" s="13">
        <f t="shared" si="2"/>
        <v>0</v>
      </c>
      <c r="I6" s="13">
        <f t="shared" si="3"/>
        <v>0</v>
      </c>
    </row>
    <row r="7" spans="2:9" x14ac:dyDescent="0.25">
      <c r="B7" s="9">
        <v>4</v>
      </c>
      <c r="C7" s="10">
        <f>'[11]Estimasi NPHR'!C7</f>
        <v>4499.8165901262919</v>
      </c>
      <c r="D7" s="11">
        <f>'[11]Estimasi NPHR'!D7</f>
        <v>0</v>
      </c>
      <c r="E7" s="12">
        <f>'[11]Coal Blend'!BV55</f>
        <v>0.8833333333333333</v>
      </c>
      <c r="F7" s="12">
        <f t="shared" si="0"/>
        <v>0.1166666666666667</v>
      </c>
      <c r="G7" s="13">
        <f t="shared" si="1"/>
        <v>0</v>
      </c>
      <c r="H7" s="13">
        <f t="shared" si="2"/>
        <v>0</v>
      </c>
      <c r="I7" s="13">
        <f t="shared" si="3"/>
        <v>0</v>
      </c>
    </row>
    <row r="8" spans="2:9" x14ac:dyDescent="0.25">
      <c r="B8" s="9">
        <v>5</v>
      </c>
      <c r="C8" s="10">
        <f>'[11]Estimasi NPHR'!C8</f>
        <v>4505.4833333333336</v>
      </c>
      <c r="D8" s="11">
        <f>'[11]Estimasi NPHR'!D8</f>
        <v>0</v>
      </c>
      <c r="E8" s="12">
        <f>'[11]Coal Blend'!BV71</f>
        <v>0.6</v>
      </c>
      <c r="F8" s="12">
        <f t="shared" si="0"/>
        <v>0.4</v>
      </c>
      <c r="G8" s="13">
        <f t="shared" si="1"/>
        <v>0</v>
      </c>
      <c r="H8" s="13">
        <f t="shared" si="2"/>
        <v>0</v>
      </c>
      <c r="I8" s="13">
        <f t="shared" si="3"/>
        <v>0</v>
      </c>
    </row>
    <row r="9" spans="2:9" x14ac:dyDescent="0.25">
      <c r="B9" s="9">
        <v>6</v>
      </c>
      <c r="C9" s="10">
        <f>'[11]Estimasi NPHR'!C9</f>
        <v>4409.034693877551</v>
      </c>
      <c r="D9" s="11">
        <f>'[11]Estimasi NPHR'!D9</f>
        <v>0</v>
      </c>
      <c r="E9" s="12">
        <f>'[11]Coal Blend'!BV87</f>
        <v>0.57500000000000007</v>
      </c>
      <c r="F9" s="12">
        <f t="shared" si="0"/>
        <v>0.42499999999999993</v>
      </c>
      <c r="G9" s="13">
        <f t="shared" si="1"/>
        <v>0</v>
      </c>
      <c r="H9" s="13">
        <f t="shared" si="2"/>
        <v>0</v>
      </c>
      <c r="I9" s="13">
        <f t="shared" si="3"/>
        <v>0</v>
      </c>
    </row>
    <row r="10" spans="2:9" x14ac:dyDescent="0.25">
      <c r="B10" s="9">
        <v>7</v>
      </c>
      <c r="C10" s="10">
        <f>'[11]Estimasi NPHR'!C10</f>
        <v>4311.6591227190811</v>
      </c>
      <c r="D10" s="11">
        <f>'[11]Estimasi NPHR'!D10</f>
        <v>0</v>
      </c>
      <c r="E10" s="12">
        <f>'[11]Coal Blend'!BV103</f>
        <v>0.67499999999999993</v>
      </c>
      <c r="F10" s="12">
        <f t="shared" si="0"/>
        <v>0.32500000000000007</v>
      </c>
      <c r="G10" s="13">
        <f t="shared" si="1"/>
        <v>0</v>
      </c>
      <c r="H10" s="13">
        <f t="shared" si="2"/>
        <v>0</v>
      </c>
      <c r="I10" s="13">
        <f t="shared" si="3"/>
        <v>0</v>
      </c>
    </row>
    <row r="11" spans="2:9" x14ac:dyDescent="0.25">
      <c r="B11" s="9">
        <v>8</v>
      </c>
      <c r="C11" s="10">
        <f>'[11]Estimasi NPHR'!C11</f>
        <v>4335.3689385743473</v>
      </c>
      <c r="D11" s="11">
        <f>'[11]Estimasi NPHR'!D11</f>
        <v>0</v>
      </c>
      <c r="E11" s="12">
        <f>'[11]Coal Blend'!BV119</f>
        <v>0.6333333333333333</v>
      </c>
      <c r="F11" s="12">
        <f t="shared" si="0"/>
        <v>0.3666666666666667</v>
      </c>
      <c r="G11" s="13">
        <f t="shared" si="1"/>
        <v>0</v>
      </c>
      <c r="H11" s="13">
        <f t="shared" si="2"/>
        <v>0</v>
      </c>
      <c r="I11" s="13">
        <f t="shared" si="3"/>
        <v>0</v>
      </c>
    </row>
    <row r="12" spans="2:9" x14ac:dyDescent="0.25">
      <c r="B12" s="9">
        <v>9</v>
      </c>
      <c r="C12" s="10">
        <f>'[11]Estimasi NPHR'!C12</f>
        <v>4352.6145593869724</v>
      </c>
      <c r="D12" s="11">
        <f>'[11]Estimasi NPHR'!D12</f>
        <v>0</v>
      </c>
      <c r="E12" s="12">
        <f>'[11]Coal Blend'!BV135</f>
        <v>0.9</v>
      </c>
      <c r="F12" s="12">
        <f t="shared" si="0"/>
        <v>9.9999999999999978E-2</v>
      </c>
      <c r="G12" s="13">
        <f t="shared" si="1"/>
        <v>0</v>
      </c>
      <c r="H12" s="13">
        <f t="shared" si="2"/>
        <v>0</v>
      </c>
      <c r="I12" s="13">
        <f t="shared" si="3"/>
        <v>0</v>
      </c>
    </row>
    <row r="13" spans="2:9" x14ac:dyDescent="0.25">
      <c r="B13" s="9">
        <v>10</v>
      </c>
      <c r="C13" s="10">
        <f>'[11]Estimasi NPHR'!C13</f>
        <v>4377.4584905660377</v>
      </c>
      <c r="D13" s="11">
        <f>'[11]Estimasi NPHR'!D13</f>
        <v>0</v>
      </c>
      <c r="E13" s="12">
        <f>'[11]Coal Blend'!BV151</f>
        <v>0.54999999999999993</v>
      </c>
      <c r="F13" s="12">
        <f t="shared" si="0"/>
        <v>0.45000000000000007</v>
      </c>
      <c r="G13" s="13">
        <f t="shared" si="1"/>
        <v>0</v>
      </c>
      <c r="H13" s="13">
        <f t="shared" si="2"/>
        <v>0</v>
      </c>
      <c r="I13" s="13">
        <f t="shared" si="3"/>
        <v>0</v>
      </c>
    </row>
    <row r="14" spans="2:9" x14ac:dyDescent="0.25">
      <c r="B14" s="9">
        <v>11</v>
      </c>
      <c r="C14" s="10">
        <f>'[11]Estimasi NPHR'!C14</f>
        <v>4532.2</v>
      </c>
      <c r="D14" s="11">
        <f>'[11]Estimasi NPHR'!D14</f>
        <v>0</v>
      </c>
      <c r="E14" s="12">
        <f>'[11]Coal Blend'!BV167</f>
        <v>0.53333333333333333</v>
      </c>
      <c r="F14" s="12">
        <f t="shared" si="0"/>
        <v>0.46666666666666667</v>
      </c>
      <c r="G14" s="13">
        <f t="shared" si="1"/>
        <v>0</v>
      </c>
      <c r="H14" s="13">
        <f t="shared" si="2"/>
        <v>0</v>
      </c>
      <c r="I14" s="13">
        <f t="shared" si="3"/>
        <v>0</v>
      </c>
    </row>
    <row r="15" spans="2:9" x14ac:dyDescent="0.25">
      <c r="B15" s="9">
        <v>12</v>
      </c>
      <c r="C15" s="10">
        <f>'[11]Estimasi NPHR'!C15</f>
        <v>4535.5333333333338</v>
      </c>
      <c r="D15" s="11">
        <f>'[11]Estimasi NPHR'!D15</f>
        <v>0</v>
      </c>
      <c r="E15" s="12">
        <f>'[11]Coal Blend'!BV183</f>
        <v>0.53333333333333333</v>
      </c>
      <c r="F15" s="12">
        <f t="shared" si="0"/>
        <v>0.46666666666666667</v>
      </c>
      <c r="G15" s="13">
        <f t="shared" si="1"/>
        <v>0</v>
      </c>
      <c r="H15" s="13">
        <f t="shared" si="2"/>
        <v>0</v>
      </c>
      <c r="I15" s="13">
        <f t="shared" si="3"/>
        <v>0</v>
      </c>
    </row>
    <row r="16" spans="2:9" x14ac:dyDescent="0.25">
      <c r="B16" s="9">
        <v>13</v>
      </c>
      <c r="C16" s="10">
        <f>'[11]Estimasi NPHR'!C16</f>
        <v>4483.2862179487174</v>
      </c>
      <c r="D16" s="11">
        <f>'[11]Estimasi NPHR'!D16</f>
        <v>0</v>
      </c>
      <c r="E16" s="12">
        <f>'[11]Coal Blend'!BV199</f>
        <v>0.55833333333333335</v>
      </c>
      <c r="F16" s="12">
        <f t="shared" si="0"/>
        <v>0.44166666666666665</v>
      </c>
      <c r="G16" s="13">
        <f t="shared" si="1"/>
        <v>0</v>
      </c>
      <c r="H16" s="13">
        <f t="shared" si="2"/>
        <v>0</v>
      </c>
      <c r="I16" s="13">
        <f t="shared" si="3"/>
        <v>0</v>
      </c>
    </row>
    <row r="17" spans="2:9" x14ac:dyDescent="0.25">
      <c r="B17" s="9">
        <v>14</v>
      </c>
      <c r="C17" s="10">
        <f>'[11]Estimasi NPHR'!C17</f>
        <v>4448.1243380614651</v>
      </c>
      <c r="D17" s="11">
        <f>'[11]Estimasi NPHR'!D17</f>
        <v>0</v>
      </c>
      <c r="E17" s="12">
        <f>'[11]Coal Blend'!BV215</f>
        <v>0.83333333333333337</v>
      </c>
      <c r="F17" s="12">
        <f t="shared" si="0"/>
        <v>0.16666666666666663</v>
      </c>
      <c r="G17" s="13">
        <f t="shared" si="1"/>
        <v>0</v>
      </c>
      <c r="H17" s="13">
        <f t="shared" si="2"/>
        <v>0</v>
      </c>
      <c r="I17" s="13">
        <f t="shared" si="3"/>
        <v>0</v>
      </c>
    </row>
    <row r="18" spans="2:9" x14ac:dyDescent="0.25">
      <c r="B18" s="9">
        <v>15</v>
      </c>
      <c r="C18" s="10">
        <f>'[11]Estimasi NPHR'!C18</f>
        <v>4386.8598870056494</v>
      </c>
      <c r="D18" s="11">
        <f>'[11]Estimasi NPHR'!D18</f>
        <v>0</v>
      </c>
      <c r="E18" s="12">
        <f>'[11]Coal Blend'!BV231</f>
        <v>0.61666666666666659</v>
      </c>
      <c r="F18" s="12">
        <f t="shared" si="0"/>
        <v>0.38333333333333341</v>
      </c>
      <c r="G18" s="13">
        <f t="shared" si="1"/>
        <v>0</v>
      </c>
      <c r="H18" s="13">
        <f t="shared" si="2"/>
        <v>0</v>
      </c>
      <c r="I18" s="13">
        <f t="shared" si="3"/>
        <v>0</v>
      </c>
    </row>
    <row r="19" spans="2:9" x14ac:dyDescent="0.25">
      <c r="B19" s="9">
        <v>16</v>
      </c>
      <c r="C19" s="10">
        <f>'[11]Estimasi NPHR'!C19</f>
        <v>4338.0627450980392</v>
      </c>
      <c r="D19" s="11">
        <f>'[11]Estimasi NPHR'!D19</f>
        <v>0</v>
      </c>
      <c r="E19" s="12">
        <f>'[11]Coal Blend'!BV247</f>
        <v>0.3833333333333333</v>
      </c>
      <c r="F19" s="12">
        <f t="shared" si="0"/>
        <v>0.6166666666666667</v>
      </c>
      <c r="G19" s="13">
        <f t="shared" si="1"/>
        <v>0</v>
      </c>
      <c r="H19" s="13">
        <f t="shared" si="2"/>
        <v>0</v>
      </c>
      <c r="I19" s="13">
        <f t="shared" si="3"/>
        <v>0</v>
      </c>
    </row>
    <row r="20" spans="2:9" x14ac:dyDescent="0.25">
      <c r="B20" s="9">
        <v>17</v>
      </c>
      <c r="C20" s="10">
        <f>'[11]Estimasi NPHR'!C20</f>
        <v>4170.6855080459763</v>
      </c>
      <c r="D20" s="11">
        <f>'[11]Estimasi NPHR'!D20</f>
        <v>0</v>
      </c>
      <c r="E20" s="12">
        <f>'[11]Coal Blend'!BV263</f>
        <v>0.16666666666666666</v>
      </c>
      <c r="F20" s="12">
        <f t="shared" si="0"/>
        <v>0.83333333333333337</v>
      </c>
      <c r="G20" s="13">
        <f t="shared" si="1"/>
        <v>0</v>
      </c>
      <c r="H20" s="13">
        <f t="shared" si="2"/>
        <v>0</v>
      </c>
      <c r="I20" s="13">
        <f t="shared" si="3"/>
        <v>0</v>
      </c>
    </row>
    <row r="21" spans="2:9" x14ac:dyDescent="0.25">
      <c r="B21" s="9">
        <v>18</v>
      </c>
      <c r="C21" s="10">
        <f>'[11]Estimasi NPHR'!C21</f>
        <v>4198.0859287356325</v>
      </c>
      <c r="D21" s="11">
        <f>'[11]Estimasi NPHR'!D21</f>
        <v>0</v>
      </c>
      <c r="E21" s="12">
        <f>'[11]Coal Blend'!BV279</f>
        <v>0.48333333333333339</v>
      </c>
      <c r="F21" s="12">
        <f t="shared" si="0"/>
        <v>0.51666666666666661</v>
      </c>
      <c r="G21" s="13">
        <f t="shared" si="1"/>
        <v>0</v>
      </c>
      <c r="H21" s="13">
        <f t="shared" si="2"/>
        <v>0</v>
      </c>
      <c r="I21" s="13">
        <f t="shared" si="3"/>
        <v>0</v>
      </c>
    </row>
    <row r="22" spans="2:9" x14ac:dyDescent="0.25">
      <c r="B22" s="9">
        <v>19</v>
      </c>
      <c r="C22" s="10">
        <f>'[11]Estimasi NPHR'!C22</f>
        <v>4299.6117588652487</v>
      </c>
      <c r="D22" s="11">
        <f>'[11]Estimasi NPHR'!D22</f>
        <v>0</v>
      </c>
      <c r="E22" s="12">
        <f>'[11]Coal Blend'!BV295</f>
        <v>0.71666666666666679</v>
      </c>
      <c r="F22" s="12">
        <f t="shared" si="0"/>
        <v>0.28333333333333321</v>
      </c>
      <c r="G22" s="13">
        <f t="shared" si="1"/>
        <v>0</v>
      </c>
      <c r="H22" s="13">
        <f t="shared" si="2"/>
        <v>0</v>
      </c>
      <c r="I22" s="13">
        <f t="shared" si="3"/>
        <v>0</v>
      </c>
    </row>
    <row r="23" spans="2:9" x14ac:dyDescent="0.25">
      <c r="B23" s="9">
        <v>20</v>
      </c>
      <c r="C23" s="10">
        <f>'[11]Estimasi NPHR'!C23</f>
        <v>4206.5716666666667</v>
      </c>
      <c r="D23" s="11">
        <f>'[11]Estimasi NPHR'!D23</f>
        <v>0</v>
      </c>
      <c r="E23" s="12">
        <f>'[11]Coal Blend'!BV311</f>
        <v>0.51666666666666672</v>
      </c>
      <c r="F23" s="12">
        <f t="shared" si="0"/>
        <v>0.48333333333333328</v>
      </c>
      <c r="G23" s="13">
        <f t="shared" si="1"/>
        <v>0</v>
      </c>
      <c r="H23" s="13">
        <f t="shared" si="2"/>
        <v>0</v>
      </c>
      <c r="I23" s="13">
        <f t="shared" si="3"/>
        <v>0</v>
      </c>
    </row>
    <row r="24" spans="2:9" x14ac:dyDescent="0.25">
      <c r="B24" s="9">
        <v>21</v>
      </c>
      <c r="C24" s="10">
        <f>'[11]Estimasi NPHR'!C24</f>
        <v>4285.8906570085146</v>
      </c>
      <c r="D24" s="11">
        <f>'[11]Estimasi NPHR'!D24</f>
        <v>0</v>
      </c>
      <c r="E24" s="12">
        <f>'[11]Coal Blend'!BV327</f>
        <v>0.53333333333333333</v>
      </c>
      <c r="F24" s="12">
        <f t="shared" si="0"/>
        <v>0.46666666666666667</v>
      </c>
      <c r="G24" s="13">
        <f t="shared" si="1"/>
        <v>0</v>
      </c>
      <c r="H24" s="13">
        <f t="shared" si="2"/>
        <v>0</v>
      </c>
      <c r="I24" s="13">
        <f t="shared" si="3"/>
        <v>0</v>
      </c>
    </row>
    <row r="25" spans="2:9" x14ac:dyDescent="0.25">
      <c r="B25" s="9">
        <v>22</v>
      </c>
      <c r="C25" s="10">
        <f>'[11]Estimasi NPHR'!C25</f>
        <v>4459.5046157786883</v>
      </c>
      <c r="D25" s="11">
        <f>'[11]Estimasi NPHR'!D25</f>
        <v>0</v>
      </c>
      <c r="E25" s="12">
        <f>'[11]Coal Blend'!BV343</f>
        <v>0.73333333333333328</v>
      </c>
      <c r="F25" s="12">
        <f t="shared" si="0"/>
        <v>0.26666666666666672</v>
      </c>
      <c r="G25" s="13">
        <f t="shared" si="1"/>
        <v>0</v>
      </c>
      <c r="H25" s="13">
        <f t="shared" si="2"/>
        <v>0</v>
      </c>
      <c r="I25" s="13">
        <f t="shared" si="3"/>
        <v>0</v>
      </c>
    </row>
    <row r="26" spans="2:9" x14ac:dyDescent="0.25">
      <c r="B26" s="9">
        <v>23</v>
      </c>
      <c r="C26" s="10">
        <f>'[11]Estimasi NPHR'!C26</f>
        <v>4489.8127186009542</v>
      </c>
      <c r="D26" s="11">
        <f>'[11]Estimasi NPHR'!D26</f>
        <v>0</v>
      </c>
      <c r="E26" s="12">
        <f>'[11]Coal Blend'!BV359</f>
        <v>0.9</v>
      </c>
      <c r="F26" s="12">
        <f t="shared" si="0"/>
        <v>9.9999999999999978E-2</v>
      </c>
      <c r="G26" s="13">
        <f t="shared" si="1"/>
        <v>0</v>
      </c>
      <c r="H26" s="13">
        <f t="shared" si="2"/>
        <v>0</v>
      </c>
      <c r="I26" s="13">
        <f t="shared" si="3"/>
        <v>0</v>
      </c>
    </row>
    <row r="27" spans="2:9" x14ac:dyDescent="0.25">
      <c r="B27" s="9">
        <v>24</v>
      </c>
      <c r="C27" s="10">
        <f>'[11]Estimasi NPHR'!C27</f>
        <v>4350.0272435897432</v>
      </c>
      <c r="D27" s="11">
        <f>'[11]Estimasi NPHR'!D27</f>
        <v>0</v>
      </c>
      <c r="E27" s="12">
        <f>'[11]Coal Blend'!BV375</f>
        <v>0.75</v>
      </c>
      <c r="F27" s="12">
        <f t="shared" si="0"/>
        <v>0.25</v>
      </c>
      <c r="G27" s="13">
        <f t="shared" si="1"/>
        <v>0</v>
      </c>
      <c r="H27" s="13">
        <f t="shared" si="2"/>
        <v>0</v>
      </c>
      <c r="I27" s="13">
        <f t="shared" si="3"/>
        <v>0</v>
      </c>
    </row>
    <row r="28" spans="2:9" x14ac:dyDescent="0.25">
      <c r="B28" s="9">
        <v>25</v>
      </c>
      <c r="C28" s="10">
        <f>'[11]Estimasi NPHR'!C28</f>
        <v>4330.3730843653257</v>
      </c>
      <c r="D28" s="11">
        <f>'[11]Estimasi NPHR'!D28</f>
        <v>0</v>
      </c>
      <c r="E28" s="12">
        <f>'[11]Coal Blend'!BV391</f>
        <v>0.6</v>
      </c>
      <c r="F28" s="12">
        <f t="shared" si="0"/>
        <v>0.4</v>
      </c>
      <c r="G28" s="13">
        <f t="shared" si="1"/>
        <v>0</v>
      </c>
      <c r="H28" s="13">
        <f t="shared" si="2"/>
        <v>0</v>
      </c>
      <c r="I28" s="13">
        <f t="shared" si="3"/>
        <v>0</v>
      </c>
    </row>
    <row r="29" spans="2:9" x14ac:dyDescent="0.25">
      <c r="B29" s="9">
        <v>26</v>
      </c>
      <c r="C29" s="10">
        <f>'[11]Estimasi NPHR'!C29</f>
        <v>4399.8109756097556</v>
      </c>
      <c r="D29" s="11">
        <f>'[11]Estimasi NPHR'!D29</f>
        <v>0</v>
      </c>
      <c r="E29" s="12">
        <f>'[11]Coal Blend'!BV407</f>
        <v>0.68333333333333324</v>
      </c>
      <c r="F29" s="12">
        <f t="shared" si="0"/>
        <v>0.31666666666666676</v>
      </c>
      <c r="G29" s="13">
        <f t="shared" si="1"/>
        <v>0</v>
      </c>
      <c r="H29" s="13">
        <f t="shared" si="2"/>
        <v>0</v>
      </c>
      <c r="I29" s="13">
        <f t="shared" si="3"/>
        <v>0</v>
      </c>
    </row>
    <row r="30" spans="2:9" x14ac:dyDescent="0.25">
      <c r="B30" s="9">
        <v>27</v>
      </c>
      <c r="C30" s="10">
        <f>'[11]Estimasi NPHR'!C30</f>
        <v>4395.8087719298246</v>
      </c>
      <c r="D30" s="11">
        <f>'[11]Estimasi NPHR'!D30</f>
        <v>0</v>
      </c>
      <c r="E30" s="12">
        <f>'[11]Coal Blend'!BV423</f>
        <v>0.76666666666666661</v>
      </c>
      <c r="F30" s="12">
        <f t="shared" si="0"/>
        <v>0.23333333333333339</v>
      </c>
      <c r="G30" s="13">
        <f t="shared" si="1"/>
        <v>0</v>
      </c>
      <c r="H30" s="13">
        <f t="shared" si="2"/>
        <v>0</v>
      </c>
      <c r="I30" s="13">
        <f t="shared" si="3"/>
        <v>0</v>
      </c>
    </row>
    <row r="31" spans="2:9" x14ac:dyDescent="0.25">
      <c r="B31" s="9">
        <v>28</v>
      </c>
      <c r="C31" s="10">
        <f>'[11]Estimasi NPHR'!C31</f>
        <v>4341.3833333333332</v>
      </c>
      <c r="D31" s="11">
        <f>'[11]Estimasi NPHR'!D31</f>
        <v>0</v>
      </c>
      <c r="E31" s="12">
        <f>'[11]Coal Blend'!BV439</f>
        <v>0.68333333333333324</v>
      </c>
      <c r="F31" s="12">
        <f t="shared" si="0"/>
        <v>0.31666666666666676</v>
      </c>
      <c r="G31" s="13">
        <f t="shared" si="1"/>
        <v>0</v>
      </c>
      <c r="H31" s="13">
        <f t="shared" si="2"/>
        <v>0</v>
      </c>
      <c r="I31" s="13">
        <f t="shared" si="3"/>
        <v>0</v>
      </c>
    </row>
    <row r="32" spans="2:9" x14ac:dyDescent="0.25">
      <c r="B32" s="9">
        <v>29</v>
      </c>
      <c r="C32" s="10">
        <f>'[11]Estimasi NPHR'!C32</f>
        <v>4405.6315789473683</v>
      </c>
      <c r="D32" s="11">
        <f>'[11]Estimasi NPHR'!D32</f>
        <v>0</v>
      </c>
      <c r="E32" s="12">
        <f>'[11]Coal Blend'!BV455</f>
        <v>0.6166666666666667</v>
      </c>
      <c r="F32" s="12">
        <f t="shared" si="0"/>
        <v>0.3833333333333333</v>
      </c>
      <c r="G32" s="13">
        <f t="shared" si="1"/>
        <v>0</v>
      </c>
      <c r="H32" s="13">
        <f t="shared" si="2"/>
        <v>0</v>
      </c>
      <c r="I32" s="13">
        <f t="shared" si="3"/>
        <v>0</v>
      </c>
    </row>
    <row r="33" spans="2:9" ht="15.75" thickBot="1" x14ac:dyDescent="0.3">
      <c r="B33" s="9">
        <v>30</v>
      </c>
      <c r="C33" s="10">
        <f>'[11]Estimasi NPHR'!C33</f>
        <v>4321.4367320634919</v>
      </c>
      <c r="D33" s="11">
        <f>'[11]Estimasi NPHR'!D33</f>
        <v>0</v>
      </c>
      <c r="E33" s="12">
        <f>'[11]Coal Blend'!BV471</f>
        <v>0.75</v>
      </c>
      <c r="F33" s="12">
        <f t="shared" si="0"/>
        <v>0.25</v>
      </c>
      <c r="G33" s="13">
        <f t="shared" si="1"/>
        <v>0</v>
      </c>
      <c r="H33" s="13">
        <f t="shared" si="2"/>
        <v>0</v>
      </c>
      <c r="I33" s="13">
        <f t="shared" si="3"/>
        <v>0</v>
      </c>
    </row>
    <row r="34" spans="2:9" ht="15.75" thickBot="1" x14ac:dyDescent="0.3">
      <c r="B34" s="14"/>
      <c r="C34" s="15">
        <f>IF(D34=0,0,I34/D34)</f>
        <v>0</v>
      </c>
      <c r="D34" s="16">
        <f>SUM(D4:D33)</f>
        <v>0</v>
      </c>
      <c r="E34" s="16"/>
      <c r="F34" s="16"/>
      <c r="G34" s="16">
        <f>SUM(G4:G33)</f>
        <v>0</v>
      </c>
      <c r="H34" s="16">
        <f>SUM(H4:H33)</f>
        <v>0</v>
      </c>
      <c r="I34" s="17">
        <f>SUM(I4:I33)</f>
        <v>0</v>
      </c>
    </row>
    <row r="35" spans="2:9" x14ac:dyDescent="0.25">
      <c r="D35" s="18">
        <f>MAX(D4:D33)</f>
        <v>0</v>
      </c>
    </row>
  </sheetData>
  <mergeCells count="2">
    <mergeCell ref="B2:B3"/>
    <mergeCell ref="C2:I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1EFE9-C485-422E-92B0-02E675F2693C}">
  <dimension ref="B1:I35"/>
  <sheetViews>
    <sheetView workbookViewId="0">
      <selection activeCell="O36" sqref="O36"/>
    </sheetView>
  </sheetViews>
  <sheetFormatPr defaultRowHeight="15" x14ac:dyDescent="0.25"/>
  <cols>
    <col min="2" max="2" width="8.5703125" bestFit="1" customWidth="1"/>
    <col min="3" max="3" width="9.5703125" bestFit="1" customWidth="1"/>
    <col min="4" max="4" width="11.5703125" bestFit="1" customWidth="1"/>
    <col min="5" max="6" width="5.5703125" bestFit="1" customWidth="1"/>
    <col min="7" max="8" width="10.5703125" bestFit="1" customWidth="1"/>
    <col min="9" max="9" width="12.5703125" bestFit="1" customWidth="1"/>
  </cols>
  <sheetData>
    <row r="1" spans="2:9" ht="15.75" thickBot="1" x14ac:dyDescent="0.3"/>
    <row r="2" spans="2:9" ht="16.5" thickBot="1" x14ac:dyDescent="0.3">
      <c r="B2" s="1" t="s">
        <v>6</v>
      </c>
      <c r="C2" s="2" t="s">
        <v>5</v>
      </c>
      <c r="D2" s="3"/>
      <c r="E2" s="3"/>
      <c r="F2" s="3"/>
      <c r="G2" s="3"/>
      <c r="H2" s="3"/>
      <c r="I2" s="4"/>
    </row>
    <row r="3" spans="2:9" ht="16.5" thickBot="1" x14ac:dyDescent="0.3">
      <c r="B3" s="5"/>
      <c r="C3" s="6" t="s">
        <v>4</v>
      </c>
      <c r="D3" s="7" t="s">
        <v>0</v>
      </c>
      <c r="E3" s="8" t="s">
        <v>1</v>
      </c>
      <c r="F3" s="8" t="s">
        <v>2</v>
      </c>
      <c r="G3" s="8" t="s">
        <v>1</v>
      </c>
      <c r="H3" s="8" t="s">
        <v>2</v>
      </c>
      <c r="I3" s="8" t="s">
        <v>3</v>
      </c>
    </row>
    <row r="4" spans="2:9" x14ac:dyDescent="0.25">
      <c r="B4" s="9">
        <v>1</v>
      </c>
      <c r="C4" s="10">
        <f>'[12]Estimasi NPHR'!C4</f>
        <v>4462.0457839506171</v>
      </c>
      <c r="D4" s="11">
        <f>'[12]Estimasi NPHR'!D4</f>
        <v>0</v>
      </c>
      <c r="E4" s="12">
        <f>'[12]Coal Blend'!BV7</f>
        <v>0.69999999999999984</v>
      </c>
      <c r="F4" s="12">
        <f>1-E4</f>
        <v>0.30000000000000016</v>
      </c>
      <c r="G4" s="13">
        <f>_xlfn.IFNA(E4*D4,0)</f>
        <v>0</v>
      </c>
      <c r="H4" s="13">
        <f>_xlfn.IFNA(F4*D4,0)</f>
        <v>0</v>
      </c>
      <c r="I4" s="13">
        <f>C4*D4</f>
        <v>0</v>
      </c>
    </row>
    <row r="5" spans="2:9" x14ac:dyDescent="0.25">
      <c r="B5" s="9">
        <v>2</v>
      </c>
      <c r="C5" s="10">
        <f>'[12]Estimasi NPHR'!C5</f>
        <v>4234.9362427914848</v>
      </c>
      <c r="D5" s="11">
        <f>'[12]Estimasi NPHR'!D5</f>
        <v>0</v>
      </c>
      <c r="E5" s="12">
        <f>'[12]Coal Blend'!BV23</f>
        <v>0.5</v>
      </c>
      <c r="F5" s="12">
        <f t="shared" ref="F5:F33" si="0">1-E5</f>
        <v>0.5</v>
      </c>
      <c r="G5" s="13">
        <f t="shared" ref="G5:G33" si="1">_xlfn.IFNA(E5*D5,0)</f>
        <v>0</v>
      </c>
      <c r="H5" s="13">
        <f t="shared" ref="H5:H33" si="2">_xlfn.IFNA(F5*D5,0)</f>
        <v>0</v>
      </c>
      <c r="I5" s="13">
        <f t="shared" ref="I5:I33" si="3">C5*D5</f>
        <v>0</v>
      </c>
    </row>
    <row r="6" spans="2:9" x14ac:dyDescent="0.25">
      <c r="B6" s="9">
        <v>3</v>
      </c>
      <c r="C6" s="10">
        <f>'[12]Estimasi NPHR'!C6</f>
        <v>4463.76856969246</v>
      </c>
      <c r="D6" s="11">
        <f>'[12]Estimasi NPHR'!D6</f>
        <v>0</v>
      </c>
      <c r="E6" s="12">
        <f>'[12]Coal Blend'!BV39</f>
        <v>0.85</v>
      </c>
      <c r="F6" s="12">
        <f t="shared" si="0"/>
        <v>0.15000000000000002</v>
      </c>
      <c r="G6" s="13">
        <f t="shared" si="1"/>
        <v>0</v>
      </c>
      <c r="H6" s="13">
        <f t="shared" si="2"/>
        <v>0</v>
      </c>
      <c r="I6" s="13">
        <f t="shared" si="3"/>
        <v>0</v>
      </c>
    </row>
    <row r="7" spans="2:9" x14ac:dyDescent="0.25">
      <c r="B7" s="9">
        <v>4</v>
      </c>
      <c r="C7" s="10">
        <f>'[12]Estimasi NPHR'!C7</f>
        <v>4357.6533915185428</v>
      </c>
      <c r="D7" s="11">
        <f>'[12]Estimasi NPHR'!D7</f>
        <v>0</v>
      </c>
      <c r="E7" s="12">
        <f>'[12]Coal Blend'!BV55</f>
        <v>0.69166666666666676</v>
      </c>
      <c r="F7" s="12">
        <f t="shared" si="0"/>
        <v>0.30833333333333324</v>
      </c>
      <c r="G7" s="13">
        <f t="shared" si="1"/>
        <v>0</v>
      </c>
      <c r="H7" s="13">
        <f t="shared" si="2"/>
        <v>0</v>
      </c>
      <c r="I7" s="13">
        <f t="shared" si="3"/>
        <v>0</v>
      </c>
    </row>
    <row r="8" spans="2:9" x14ac:dyDescent="0.25">
      <c r="B8" s="9">
        <v>5</v>
      </c>
      <c r="C8" s="10">
        <f>'[12]Estimasi NPHR'!C8</f>
        <v>4145.3427178342145</v>
      </c>
      <c r="D8" s="11">
        <f>'[12]Estimasi NPHR'!D8</f>
        <v>0</v>
      </c>
      <c r="E8" s="12">
        <f>'[12]Coal Blend'!BV71</f>
        <v>0.32500000000000001</v>
      </c>
      <c r="F8" s="12">
        <f t="shared" si="0"/>
        <v>0.67500000000000004</v>
      </c>
      <c r="G8" s="13">
        <f t="shared" si="1"/>
        <v>0</v>
      </c>
      <c r="H8" s="13">
        <f t="shared" si="2"/>
        <v>0</v>
      </c>
      <c r="I8" s="13">
        <f t="shared" si="3"/>
        <v>0</v>
      </c>
    </row>
    <row r="9" spans="2:9" x14ac:dyDescent="0.25">
      <c r="B9" s="9">
        <v>6</v>
      </c>
      <c r="C9" s="10">
        <f>'[12]Estimasi NPHR'!C9</f>
        <v>4261.4483148049048</v>
      </c>
      <c r="D9" s="11">
        <f>'[12]Estimasi NPHR'!D9</f>
        <v>0</v>
      </c>
      <c r="E9" s="12">
        <f>'[12]Coal Blend'!BV87</f>
        <v>0.6</v>
      </c>
      <c r="F9" s="12">
        <f t="shared" si="0"/>
        <v>0.4</v>
      </c>
      <c r="G9" s="13">
        <f t="shared" si="1"/>
        <v>0</v>
      </c>
      <c r="H9" s="13">
        <f t="shared" si="2"/>
        <v>0</v>
      </c>
      <c r="I9" s="13">
        <f t="shared" si="3"/>
        <v>0</v>
      </c>
    </row>
    <row r="10" spans="2:9" x14ac:dyDescent="0.25">
      <c r="B10" s="9">
        <v>7</v>
      </c>
      <c r="C10" s="10">
        <f>'[12]Estimasi NPHR'!C10</f>
        <v>4227.5672662365596</v>
      </c>
      <c r="D10" s="11">
        <f>'[12]Estimasi NPHR'!D10</f>
        <v>0</v>
      </c>
      <c r="E10" s="12">
        <f>'[12]Coal Blend'!BV103</f>
        <v>0.54166666666666663</v>
      </c>
      <c r="F10" s="12">
        <f t="shared" si="0"/>
        <v>0.45833333333333337</v>
      </c>
      <c r="G10" s="13">
        <f t="shared" si="1"/>
        <v>0</v>
      </c>
      <c r="H10" s="13">
        <f t="shared" si="2"/>
        <v>0</v>
      </c>
      <c r="I10" s="13">
        <f t="shared" si="3"/>
        <v>0</v>
      </c>
    </row>
    <row r="11" spans="2:9" x14ac:dyDescent="0.25">
      <c r="B11" s="9">
        <v>8</v>
      </c>
      <c r="C11" s="10">
        <f>'[12]Estimasi NPHR'!C11</f>
        <v>4536.9155143678154</v>
      </c>
      <c r="D11" s="11">
        <f>'[12]Estimasi NPHR'!D11</f>
        <v>0</v>
      </c>
      <c r="E11" s="12">
        <f>'[12]Coal Blend'!BV119</f>
        <v>0.82500000000000007</v>
      </c>
      <c r="F11" s="12">
        <f t="shared" si="0"/>
        <v>0.17499999999999993</v>
      </c>
      <c r="G11" s="13">
        <f t="shared" si="1"/>
        <v>0</v>
      </c>
      <c r="H11" s="13">
        <f t="shared" si="2"/>
        <v>0</v>
      </c>
      <c r="I11" s="13">
        <f t="shared" si="3"/>
        <v>0</v>
      </c>
    </row>
    <row r="12" spans="2:9" x14ac:dyDescent="0.25">
      <c r="B12" s="9">
        <v>9</v>
      </c>
      <c r="C12" s="10">
        <f>'[12]Estimasi NPHR'!C12</f>
        <v>4408.9594330676582</v>
      </c>
      <c r="D12" s="11">
        <f>'[12]Estimasi NPHR'!D12</f>
        <v>0</v>
      </c>
      <c r="E12" s="12">
        <f>'[12]Coal Blend'!BV135</f>
        <v>0.70833333333333337</v>
      </c>
      <c r="F12" s="12">
        <f t="shared" si="0"/>
        <v>0.29166666666666663</v>
      </c>
      <c r="G12" s="13">
        <f t="shared" si="1"/>
        <v>0</v>
      </c>
      <c r="H12" s="13">
        <f t="shared" si="2"/>
        <v>0</v>
      </c>
      <c r="I12" s="13">
        <f t="shared" si="3"/>
        <v>0</v>
      </c>
    </row>
    <row r="13" spans="2:9" x14ac:dyDescent="0.25">
      <c r="B13" s="9">
        <v>10</v>
      </c>
      <c r="C13" s="10">
        <f>'[12]Estimasi NPHR'!C13</f>
        <v>4323.9066649831648</v>
      </c>
      <c r="D13" s="11">
        <f>'[12]Estimasi NPHR'!D13</f>
        <v>0</v>
      </c>
      <c r="E13" s="12">
        <f>'[12]Coal Blend'!BV151</f>
        <v>0.43333333333333335</v>
      </c>
      <c r="F13" s="12">
        <f t="shared" si="0"/>
        <v>0.56666666666666665</v>
      </c>
      <c r="G13" s="13">
        <f t="shared" si="1"/>
        <v>0</v>
      </c>
      <c r="H13" s="13">
        <f t="shared" si="2"/>
        <v>0</v>
      </c>
      <c r="I13" s="13">
        <f t="shared" si="3"/>
        <v>0</v>
      </c>
    </row>
    <row r="14" spans="2:9" x14ac:dyDescent="0.25">
      <c r="B14" s="9">
        <v>11</v>
      </c>
      <c r="C14" s="10">
        <f>'[12]Estimasi NPHR'!C14</f>
        <v>4187.3214668840583</v>
      </c>
      <c r="D14" s="11">
        <f>'[12]Estimasi NPHR'!D14</f>
        <v>0</v>
      </c>
      <c r="E14" s="12">
        <f>'[12]Coal Blend'!BV167</f>
        <v>0.41666666666666669</v>
      </c>
      <c r="F14" s="12">
        <f t="shared" si="0"/>
        <v>0.58333333333333326</v>
      </c>
      <c r="G14" s="13">
        <f t="shared" si="1"/>
        <v>0</v>
      </c>
      <c r="H14" s="13">
        <f t="shared" si="2"/>
        <v>0</v>
      </c>
      <c r="I14" s="13">
        <f t="shared" si="3"/>
        <v>0</v>
      </c>
    </row>
    <row r="15" spans="2:9" x14ac:dyDescent="0.25">
      <c r="B15" s="9">
        <v>12</v>
      </c>
      <c r="C15" s="10">
        <f>'[12]Estimasi NPHR'!C15</f>
        <v>4200.424957666788</v>
      </c>
      <c r="D15" s="11">
        <f>'[12]Estimasi NPHR'!D15</f>
        <v>0</v>
      </c>
      <c r="E15" s="12">
        <f>'[12]Coal Blend'!BV183</f>
        <v>0.20000000000000004</v>
      </c>
      <c r="F15" s="12">
        <f t="shared" si="0"/>
        <v>0.79999999999999993</v>
      </c>
      <c r="G15" s="13">
        <f t="shared" si="1"/>
        <v>0</v>
      </c>
      <c r="H15" s="13">
        <f t="shared" si="2"/>
        <v>0</v>
      </c>
      <c r="I15" s="13">
        <f t="shared" si="3"/>
        <v>0</v>
      </c>
    </row>
    <row r="16" spans="2:9" x14ac:dyDescent="0.25">
      <c r="B16" s="9">
        <v>13</v>
      </c>
      <c r="C16" s="10">
        <f>'[12]Estimasi NPHR'!C16</f>
        <v>4044.21611025641</v>
      </c>
      <c r="D16" s="11">
        <f>'[12]Estimasi NPHR'!D16</f>
        <v>0</v>
      </c>
      <c r="E16" s="12">
        <f>'[12]Coal Blend'!BV199</f>
        <v>0.15833333333333333</v>
      </c>
      <c r="F16" s="12">
        <f t="shared" si="0"/>
        <v>0.84166666666666667</v>
      </c>
      <c r="G16" s="13">
        <f t="shared" si="1"/>
        <v>0</v>
      </c>
      <c r="H16" s="13">
        <f t="shared" si="2"/>
        <v>0</v>
      </c>
      <c r="I16" s="13">
        <f t="shared" si="3"/>
        <v>0</v>
      </c>
    </row>
    <row r="17" spans="2:9" x14ac:dyDescent="0.25">
      <c r="B17" s="9">
        <v>14</v>
      </c>
      <c r="C17" s="10">
        <f>'[12]Estimasi NPHR'!C17</f>
        <v>4304.9627394408599</v>
      </c>
      <c r="D17" s="11">
        <f>'[12]Estimasi NPHR'!D17</f>
        <v>0</v>
      </c>
      <c r="E17" s="12">
        <f>'[12]Coal Blend'!BV215</f>
        <v>0.51666666666666661</v>
      </c>
      <c r="F17" s="12">
        <f t="shared" si="0"/>
        <v>0.48333333333333339</v>
      </c>
      <c r="G17" s="13">
        <f t="shared" si="1"/>
        <v>0</v>
      </c>
      <c r="H17" s="13">
        <f t="shared" si="2"/>
        <v>0</v>
      </c>
      <c r="I17" s="13">
        <f t="shared" si="3"/>
        <v>0</v>
      </c>
    </row>
    <row r="18" spans="2:9" x14ac:dyDescent="0.25">
      <c r="B18" s="9">
        <v>15</v>
      </c>
      <c r="C18" s="10">
        <f>'[12]Estimasi NPHR'!C18</f>
        <v>4342.3885177777775</v>
      </c>
      <c r="D18" s="11">
        <f>'[12]Estimasi NPHR'!D18</f>
        <v>0</v>
      </c>
      <c r="E18" s="12">
        <f>'[12]Coal Blend'!BV231</f>
        <v>0.7583333333333333</v>
      </c>
      <c r="F18" s="12">
        <f t="shared" si="0"/>
        <v>0.2416666666666667</v>
      </c>
      <c r="G18" s="13">
        <f t="shared" si="1"/>
        <v>0</v>
      </c>
      <c r="H18" s="13">
        <f t="shared" si="2"/>
        <v>0</v>
      </c>
      <c r="I18" s="13">
        <f t="shared" si="3"/>
        <v>0</v>
      </c>
    </row>
    <row r="19" spans="2:9" x14ac:dyDescent="0.25">
      <c r="B19" s="9">
        <v>16</v>
      </c>
      <c r="C19" s="10">
        <f>'[12]Estimasi NPHR'!C19</f>
        <v>4476.7840245115622</v>
      </c>
      <c r="D19" s="11">
        <f>'[12]Estimasi NPHR'!D19</f>
        <v>0</v>
      </c>
      <c r="E19" s="12">
        <f>'[12]Coal Blend'!BV247</f>
        <v>0.4333333333333334</v>
      </c>
      <c r="F19" s="12">
        <f t="shared" si="0"/>
        <v>0.56666666666666665</v>
      </c>
      <c r="G19" s="13">
        <f t="shared" si="1"/>
        <v>0</v>
      </c>
      <c r="H19" s="13">
        <f t="shared" si="2"/>
        <v>0</v>
      </c>
      <c r="I19" s="13">
        <f t="shared" si="3"/>
        <v>0</v>
      </c>
    </row>
    <row r="20" spans="2:9" x14ac:dyDescent="0.25">
      <c r="B20" s="9">
        <v>17</v>
      </c>
      <c r="C20" s="10">
        <f>'[12]Estimasi NPHR'!C20</f>
        <v>4458.2122908366009</v>
      </c>
      <c r="D20" s="11">
        <f>'[12]Estimasi NPHR'!D20</f>
        <v>0</v>
      </c>
      <c r="E20" s="12">
        <f>'[12]Coal Blend'!BV263</f>
        <v>0.71666666666666667</v>
      </c>
      <c r="F20" s="12">
        <f t="shared" si="0"/>
        <v>0.28333333333333333</v>
      </c>
      <c r="G20" s="13">
        <f t="shared" si="1"/>
        <v>0</v>
      </c>
      <c r="H20" s="13">
        <f t="shared" si="2"/>
        <v>0</v>
      </c>
      <c r="I20" s="13">
        <f t="shared" si="3"/>
        <v>0</v>
      </c>
    </row>
    <row r="21" spans="2:9" x14ac:dyDescent="0.25">
      <c r="B21" s="9">
        <v>18</v>
      </c>
      <c r="C21" s="10">
        <f>'[12]Estimasi NPHR'!C21</f>
        <v>4182.9954923371652</v>
      </c>
      <c r="D21" s="11">
        <f>'[12]Estimasi NPHR'!D21</f>
        <v>0</v>
      </c>
      <c r="E21" s="12">
        <f>'[12]Coal Blend'!BV279</f>
        <v>0.40833333333333338</v>
      </c>
      <c r="F21" s="12">
        <f t="shared" si="0"/>
        <v>0.59166666666666656</v>
      </c>
      <c r="G21" s="13">
        <f t="shared" si="1"/>
        <v>0</v>
      </c>
      <c r="H21" s="13">
        <f t="shared" si="2"/>
        <v>0</v>
      </c>
      <c r="I21" s="13">
        <f t="shared" si="3"/>
        <v>0</v>
      </c>
    </row>
    <row r="22" spans="2:9" x14ac:dyDescent="0.25">
      <c r="B22" s="9">
        <v>19</v>
      </c>
      <c r="C22" s="10">
        <f>'[12]Estimasi NPHR'!C22</f>
        <v>4294.97460815047</v>
      </c>
      <c r="D22" s="11">
        <f>'[12]Estimasi NPHR'!D22</f>
        <v>0</v>
      </c>
      <c r="E22" s="12">
        <f>'[12]Coal Blend'!BV295</f>
        <v>0.51666666666666672</v>
      </c>
      <c r="F22" s="12">
        <f t="shared" si="0"/>
        <v>0.48333333333333328</v>
      </c>
      <c r="G22" s="13">
        <f t="shared" si="1"/>
        <v>0</v>
      </c>
      <c r="H22" s="13">
        <f t="shared" si="2"/>
        <v>0</v>
      </c>
      <c r="I22" s="13">
        <f t="shared" si="3"/>
        <v>0</v>
      </c>
    </row>
    <row r="23" spans="2:9" x14ac:dyDescent="0.25">
      <c r="B23" s="9">
        <v>20</v>
      </c>
      <c r="C23" s="10">
        <f>'[12]Estimasi NPHR'!C23</f>
        <v>4086.1652509652508</v>
      </c>
      <c r="D23" s="11">
        <f>'[12]Estimasi NPHR'!D23</f>
        <v>0</v>
      </c>
      <c r="E23" s="12">
        <f>'[12]Coal Blend'!BV311</f>
        <v>6.6666666666666666E-2</v>
      </c>
      <c r="F23" s="12">
        <f t="shared" si="0"/>
        <v>0.93333333333333335</v>
      </c>
      <c r="G23" s="13">
        <f t="shared" si="1"/>
        <v>0</v>
      </c>
      <c r="H23" s="13">
        <f t="shared" si="2"/>
        <v>0</v>
      </c>
      <c r="I23" s="13">
        <f t="shared" si="3"/>
        <v>0</v>
      </c>
    </row>
    <row r="24" spans="2:9" x14ac:dyDescent="0.25">
      <c r="B24" s="9">
        <v>21</v>
      </c>
      <c r="C24" s="10">
        <f>'[12]Estimasi NPHR'!C24</f>
        <v>4306.4114064785781</v>
      </c>
      <c r="D24" s="11">
        <f>'[12]Estimasi NPHR'!D24</f>
        <v>0</v>
      </c>
      <c r="E24" s="12">
        <f>'[12]Coal Blend'!BV327</f>
        <v>0.6333333333333333</v>
      </c>
      <c r="F24" s="12">
        <f t="shared" si="0"/>
        <v>0.3666666666666667</v>
      </c>
      <c r="G24" s="13">
        <f t="shared" si="1"/>
        <v>0</v>
      </c>
      <c r="H24" s="13">
        <f t="shared" si="2"/>
        <v>0</v>
      </c>
      <c r="I24" s="13">
        <f t="shared" si="3"/>
        <v>0</v>
      </c>
    </row>
    <row r="25" spans="2:9" x14ac:dyDescent="0.25">
      <c r="B25" s="9">
        <v>22</v>
      </c>
      <c r="C25" s="10">
        <f>'[12]Estimasi NPHR'!C25</f>
        <v>4379.4232458333345</v>
      </c>
      <c r="D25" s="11">
        <f>'[12]Estimasi NPHR'!D25</f>
        <v>0</v>
      </c>
      <c r="E25" s="12">
        <f>'[12]Coal Blend'!BV343</f>
        <v>0.7416666666666667</v>
      </c>
      <c r="F25" s="12">
        <f t="shared" si="0"/>
        <v>0.2583333333333333</v>
      </c>
      <c r="G25" s="13">
        <f t="shared" si="1"/>
        <v>0</v>
      </c>
      <c r="H25" s="13">
        <f t="shared" si="2"/>
        <v>0</v>
      </c>
      <c r="I25" s="13">
        <f t="shared" si="3"/>
        <v>0</v>
      </c>
    </row>
    <row r="26" spans="2:9" x14ac:dyDescent="0.25">
      <c r="B26" s="9">
        <v>23</v>
      </c>
      <c r="C26" s="10">
        <f>'[12]Estimasi NPHR'!C26</f>
        <v>4384.8050545035467</v>
      </c>
      <c r="D26" s="11">
        <f>'[12]Estimasi NPHR'!D26</f>
        <v>0</v>
      </c>
      <c r="E26" s="12">
        <f>'[12]Coal Blend'!BV359</f>
        <v>0.59166666666666667</v>
      </c>
      <c r="F26" s="12">
        <f t="shared" si="0"/>
        <v>0.40833333333333333</v>
      </c>
      <c r="G26" s="13">
        <f t="shared" si="1"/>
        <v>0</v>
      </c>
      <c r="H26" s="13">
        <f t="shared" si="2"/>
        <v>0</v>
      </c>
      <c r="I26" s="13">
        <f t="shared" si="3"/>
        <v>0</v>
      </c>
    </row>
    <row r="27" spans="2:9" x14ac:dyDescent="0.25">
      <c r="B27" s="9">
        <v>24</v>
      </c>
      <c r="C27" s="10">
        <f>'[12]Estimasi NPHR'!C27</f>
        <v>4482.4967445790817</v>
      </c>
      <c r="D27" s="11">
        <f>'[12]Estimasi NPHR'!D27</f>
        <v>0</v>
      </c>
      <c r="E27" s="12">
        <f>'[12]Coal Blend'!BV375</f>
        <v>0.69166666666666676</v>
      </c>
      <c r="F27" s="12">
        <f t="shared" si="0"/>
        <v>0.30833333333333324</v>
      </c>
      <c r="G27" s="13">
        <f t="shared" si="1"/>
        <v>0</v>
      </c>
      <c r="H27" s="13">
        <f t="shared" si="2"/>
        <v>0</v>
      </c>
      <c r="I27" s="13">
        <f t="shared" si="3"/>
        <v>0</v>
      </c>
    </row>
    <row r="28" spans="2:9" x14ac:dyDescent="0.25">
      <c r="B28" s="9">
        <v>25</v>
      </c>
      <c r="C28" s="10">
        <f>'[12]Estimasi NPHR'!C28</f>
        <v>4322.5207083660935</v>
      </c>
      <c r="D28" s="11">
        <f>'[12]Estimasi NPHR'!D28</f>
        <v>0</v>
      </c>
      <c r="E28" s="12">
        <f>'[12]Coal Blend'!BV391</f>
        <v>0.64166666666666672</v>
      </c>
      <c r="F28" s="12">
        <f t="shared" si="0"/>
        <v>0.35833333333333328</v>
      </c>
      <c r="G28" s="13">
        <f t="shared" si="1"/>
        <v>0</v>
      </c>
      <c r="H28" s="13">
        <f t="shared" si="2"/>
        <v>0</v>
      </c>
      <c r="I28" s="13">
        <f t="shared" si="3"/>
        <v>0</v>
      </c>
    </row>
    <row r="29" spans="2:9" x14ac:dyDescent="0.25">
      <c r="B29" s="9">
        <v>26</v>
      </c>
      <c r="C29" s="10">
        <f>'[12]Estimasi NPHR'!C29</f>
        <v>4241.6520421607374</v>
      </c>
      <c r="D29" s="11">
        <f>'[12]Estimasi NPHR'!D29</f>
        <v>0</v>
      </c>
      <c r="E29" s="12">
        <f>'[12]Coal Blend'!BV407</f>
        <v>0.51666666666666672</v>
      </c>
      <c r="F29" s="12">
        <f t="shared" si="0"/>
        <v>0.48333333333333328</v>
      </c>
      <c r="G29" s="13">
        <f t="shared" si="1"/>
        <v>0</v>
      </c>
      <c r="H29" s="13">
        <f t="shared" si="2"/>
        <v>0</v>
      </c>
      <c r="I29" s="13">
        <f t="shared" si="3"/>
        <v>0</v>
      </c>
    </row>
    <row r="30" spans="2:9" x14ac:dyDescent="0.25">
      <c r="B30" s="9">
        <v>27</v>
      </c>
      <c r="C30" s="10">
        <f>'[12]Estimasi NPHR'!C30</f>
        <v>4347.1316415064111</v>
      </c>
      <c r="D30" s="11">
        <f>'[12]Estimasi NPHR'!D30</f>
        <v>0</v>
      </c>
      <c r="E30" s="12">
        <f>'[12]Coal Blend'!BV423</f>
        <v>0.72499999999999998</v>
      </c>
      <c r="F30" s="12">
        <f t="shared" si="0"/>
        <v>0.27500000000000002</v>
      </c>
      <c r="G30" s="13">
        <f t="shared" si="1"/>
        <v>0</v>
      </c>
      <c r="H30" s="13">
        <f t="shared" si="2"/>
        <v>0</v>
      </c>
      <c r="I30" s="13">
        <f t="shared" si="3"/>
        <v>0</v>
      </c>
    </row>
    <row r="31" spans="2:9" x14ac:dyDescent="0.25">
      <c r="B31" s="9">
        <v>28</v>
      </c>
      <c r="C31" s="10">
        <f>'[12]Estimasi NPHR'!C31</f>
        <v>4309.7701346797139</v>
      </c>
      <c r="D31" s="11">
        <f>'[12]Estimasi NPHR'!D31</f>
        <v>0</v>
      </c>
      <c r="E31" s="12">
        <f>'[12]Coal Blend'!BV439</f>
        <v>0.6333333333333333</v>
      </c>
      <c r="F31" s="12">
        <f t="shared" si="0"/>
        <v>0.3666666666666667</v>
      </c>
      <c r="G31" s="13">
        <f t="shared" si="1"/>
        <v>0</v>
      </c>
      <c r="H31" s="13">
        <f t="shared" si="2"/>
        <v>0</v>
      </c>
      <c r="I31" s="13">
        <f t="shared" si="3"/>
        <v>0</v>
      </c>
    </row>
    <row r="32" spans="2:9" x14ac:dyDescent="0.25">
      <c r="B32" s="9">
        <v>29</v>
      </c>
      <c r="C32" s="10">
        <f>'[12]Estimasi NPHR'!C32</f>
        <v>4400.8867150584801</v>
      </c>
      <c r="D32" s="11">
        <f>'[12]Estimasi NPHR'!D32</f>
        <v>0</v>
      </c>
      <c r="E32" s="12">
        <f>'[12]Coal Blend'!BV455</f>
        <v>0.73333333333333339</v>
      </c>
      <c r="F32" s="12">
        <f t="shared" si="0"/>
        <v>0.26666666666666661</v>
      </c>
      <c r="G32" s="13">
        <f t="shared" si="1"/>
        <v>0</v>
      </c>
      <c r="H32" s="13">
        <f t="shared" si="2"/>
        <v>0</v>
      </c>
      <c r="I32" s="13">
        <f t="shared" si="3"/>
        <v>0</v>
      </c>
    </row>
    <row r="33" spans="2:9" ht="15.75" thickBot="1" x14ac:dyDescent="0.3">
      <c r="B33" s="9">
        <v>30</v>
      </c>
      <c r="C33" s="10">
        <f>'[12]Estimasi NPHR'!C33</f>
        <v>4325.0523626940767</v>
      </c>
      <c r="D33" s="11">
        <f>'[12]Estimasi NPHR'!D33</f>
        <v>0</v>
      </c>
      <c r="E33" s="12">
        <f>'[12]Coal Blend'!BV471</f>
        <v>0.61666666666666659</v>
      </c>
      <c r="F33" s="12">
        <f t="shared" si="0"/>
        <v>0.38333333333333341</v>
      </c>
      <c r="G33" s="13">
        <f t="shared" si="1"/>
        <v>0</v>
      </c>
      <c r="H33" s="13">
        <f t="shared" si="2"/>
        <v>0</v>
      </c>
      <c r="I33" s="13">
        <f t="shared" si="3"/>
        <v>0</v>
      </c>
    </row>
    <row r="34" spans="2:9" ht="15.75" thickBot="1" x14ac:dyDescent="0.3">
      <c r="B34" s="14"/>
      <c r="C34" s="15">
        <f>IF(D34=0,0,I34/D34)</f>
        <v>0</v>
      </c>
      <c r="D34" s="16">
        <f>SUM(D4:D33)</f>
        <v>0</v>
      </c>
      <c r="E34" s="16"/>
      <c r="F34" s="16"/>
      <c r="G34" s="16">
        <f>SUM(G4:G33)</f>
        <v>0</v>
      </c>
      <c r="H34" s="16">
        <f>SUM(H4:H33)</f>
        <v>0</v>
      </c>
      <c r="I34" s="17">
        <f>SUM(I4:I33)</f>
        <v>0</v>
      </c>
    </row>
    <row r="35" spans="2:9" x14ac:dyDescent="0.25">
      <c r="D35" s="18">
        <f>MAX(D4:D33)</f>
        <v>0</v>
      </c>
    </row>
  </sheetData>
  <mergeCells count="2">
    <mergeCell ref="B2:B3"/>
    <mergeCell ref="C2:I2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0BBBA-7074-485C-A85B-8A311EE6220B}">
  <dimension ref="B1:I35"/>
  <sheetViews>
    <sheetView workbookViewId="0">
      <selection activeCell="O36" sqref="O36"/>
    </sheetView>
  </sheetViews>
  <sheetFormatPr defaultRowHeight="15" x14ac:dyDescent="0.25"/>
  <cols>
    <col min="2" max="2" width="8.5703125" bestFit="1" customWidth="1"/>
    <col min="3" max="3" width="9.5703125" bestFit="1" customWidth="1"/>
    <col min="4" max="4" width="11.5703125" bestFit="1" customWidth="1"/>
    <col min="5" max="6" width="5.5703125" bestFit="1" customWidth="1"/>
    <col min="7" max="8" width="10.5703125" bestFit="1" customWidth="1"/>
    <col min="9" max="9" width="12.5703125" bestFit="1" customWidth="1"/>
  </cols>
  <sheetData>
    <row r="1" spans="2:9" ht="15.75" thickBot="1" x14ac:dyDescent="0.3"/>
    <row r="2" spans="2:9" ht="16.5" thickBot="1" x14ac:dyDescent="0.3">
      <c r="B2" s="1" t="s">
        <v>6</v>
      </c>
      <c r="C2" s="2" t="s">
        <v>5</v>
      </c>
      <c r="D2" s="3"/>
      <c r="E2" s="3"/>
      <c r="F2" s="3"/>
      <c r="G2" s="3"/>
      <c r="H2" s="3"/>
      <c r="I2" s="4"/>
    </row>
    <row r="3" spans="2:9" ht="16.5" thickBot="1" x14ac:dyDescent="0.3">
      <c r="B3" s="5"/>
      <c r="C3" s="6" t="s">
        <v>4</v>
      </c>
      <c r="D3" s="7" t="s">
        <v>0</v>
      </c>
      <c r="E3" s="8" t="s">
        <v>1</v>
      </c>
      <c r="F3" s="8" t="s">
        <v>2</v>
      </c>
      <c r="G3" s="8" t="s">
        <v>1</v>
      </c>
      <c r="H3" s="8" t="s">
        <v>2</v>
      </c>
      <c r="I3" s="8" t="s">
        <v>3</v>
      </c>
    </row>
    <row r="4" spans="2:9" x14ac:dyDescent="0.25">
      <c r="B4" s="9">
        <v>1</v>
      </c>
      <c r="C4" s="10">
        <f>'[13]Estimasi NPHR'!C4</f>
        <v>4414.618119382947</v>
      </c>
      <c r="D4" s="11">
        <f>'[13]Estimasi NPHR'!D4</f>
        <v>0</v>
      </c>
      <c r="E4" s="12">
        <f>'[13]Coal Blend'!BV7</f>
        <v>0.625</v>
      </c>
      <c r="F4" s="12">
        <f>1-E4</f>
        <v>0.375</v>
      </c>
      <c r="G4" s="13">
        <f>_xlfn.IFNA(E4*D4,0)</f>
        <v>0</v>
      </c>
      <c r="H4" s="13">
        <f>_xlfn.IFNA(F4*D4,0)</f>
        <v>0</v>
      </c>
      <c r="I4" s="13">
        <f>C4*D4</f>
        <v>0</v>
      </c>
    </row>
    <row r="5" spans="2:9" x14ac:dyDescent="0.25">
      <c r="B5" s="9">
        <v>2</v>
      </c>
      <c r="C5" s="10">
        <f>'[13]Estimasi NPHR'!C5</f>
        <v>4514.1831245188368</v>
      </c>
      <c r="D5" s="11">
        <f>'[13]Estimasi NPHR'!D5</f>
        <v>0</v>
      </c>
      <c r="E5" s="12">
        <f>'[13]Coal Blend'!BV23</f>
        <v>0.78333333333333321</v>
      </c>
      <c r="F5" s="12">
        <f t="shared" ref="F5:F33" si="0">1-E5</f>
        <v>0.21666666666666679</v>
      </c>
      <c r="G5" s="13">
        <f t="shared" ref="G5:G33" si="1">_xlfn.IFNA(E5*D5,0)</f>
        <v>0</v>
      </c>
      <c r="H5" s="13">
        <f t="shared" ref="H5:H33" si="2">_xlfn.IFNA(F5*D5,0)</f>
        <v>0</v>
      </c>
      <c r="I5" s="13">
        <f t="shared" ref="I5:I33" si="3">C5*D5</f>
        <v>0</v>
      </c>
    </row>
    <row r="6" spans="2:9" x14ac:dyDescent="0.25">
      <c r="B6" s="9">
        <v>3</v>
      </c>
      <c r="C6" s="10">
        <f>'[13]Estimasi NPHR'!C6</f>
        <v>4531.8145109395109</v>
      </c>
      <c r="D6" s="11">
        <f>'[13]Estimasi NPHR'!D6</f>
        <v>0</v>
      </c>
      <c r="E6" s="12">
        <f>'[13]Coal Blend'!BV39</f>
        <v>1</v>
      </c>
      <c r="F6" s="12">
        <f t="shared" si="0"/>
        <v>0</v>
      </c>
      <c r="G6" s="13">
        <f t="shared" si="1"/>
        <v>0</v>
      </c>
      <c r="H6" s="13">
        <f t="shared" si="2"/>
        <v>0</v>
      </c>
      <c r="I6" s="13">
        <f t="shared" si="3"/>
        <v>0</v>
      </c>
    </row>
    <row r="7" spans="2:9" x14ac:dyDescent="0.25">
      <c r="B7" s="9">
        <v>4</v>
      </c>
      <c r="C7" s="10">
        <f>'[13]Estimasi NPHR'!C7</f>
        <v>4272.8469999999998</v>
      </c>
      <c r="D7" s="11">
        <f>'[13]Estimasi NPHR'!D7</f>
        <v>0</v>
      </c>
      <c r="E7" s="12">
        <f>'[13]Coal Blend'!BV55</f>
        <v>0.61666666666666659</v>
      </c>
      <c r="F7" s="12">
        <f t="shared" si="0"/>
        <v>0.38333333333333341</v>
      </c>
      <c r="G7" s="13">
        <f t="shared" si="1"/>
        <v>0</v>
      </c>
      <c r="H7" s="13">
        <f t="shared" si="2"/>
        <v>0</v>
      </c>
      <c r="I7" s="13">
        <f t="shared" si="3"/>
        <v>0</v>
      </c>
    </row>
    <row r="8" spans="2:9" x14ac:dyDescent="0.25">
      <c r="B8" s="9">
        <v>5</v>
      </c>
      <c r="C8" s="10">
        <f>'[13]Estimasi NPHR'!C8</f>
        <v>4110.0312149058891</v>
      </c>
      <c r="D8" s="11">
        <f>'[13]Estimasi NPHR'!D8</f>
        <v>0</v>
      </c>
      <c r="E8" s="12">
        <f>'[13]Coal Blend'!BV71</f>
        <v>0.375</v>
      </c>
      <c r="F8" s="12">
        <f t="shared" si="0"/>
        <v>0.625</v>
      </c>
      <c r="G8" s="13">
        <f t="shared" si="1"/>
        <v>0</v>
      </c>
      <c r="H8" s="13">
        <f t="shared" si="2"/>
        <v>0</v>
      </c>
      <c r="I8" s="13">
        <f t="shared" si="3"/>
        <v>0</v>
      </c>
    </row>
    <row r="9" spans="2:9" x14ac:dyDescent="0.25">
      <c r="B9" s="9">
        <v>6</v>
      </c>
      <c r="C9" s="10">
        <f>'[13]Estimasi NPHR'!C9</f>
        <v>4235.3862126680333</v>
      </c>
      <c r="D9" s="11">
        <f>'[13]Estimasi NPHR'!D9</f>
        <v>0</v>
      </c>
      <c r="E9" s="12">
        <f>'[13]Coal Blend'!BV87</f>
        <v>0.55000000000000004</v>
      </c>
      <c r="F9" s="12">
        <f t="shared" si="0"/>
        <v>0.44999999999999996</v>
      </c>
      <c r="G9" s="13">
        <f t="shared" si="1"/>
        <v>0</v>
      </c>
      <c r="H9" s="13">
        <f t="shared" si="2"/>
        <v>0</v>
      </c>
      <c r="I9" s="13">
        <f t="shared" si="3"/>
        <v>0</v>
      </c>
    </row>
    <row r="10" spans="2:9" x14ac:dyDescent="0.25">
      <c r="B10" s="9">
        <v>7</v>
      </c>
      <c r="C10" s="10">
        <f>'[13]Estimasi NPHR'!C10</f>
        <v>4299.1788753623186</v>
      </c>
      <c r="D10" s="11">
        <f>'[13]Estimasi NPHR'!D10</f>
        <v>0</v>
      </c>
      <c r="E10" s="12">
        <f>'[13]Coal Blend'!BV103</f>
        <v>0.52500000000000002</v>
      </c>
      <c r="F10" s="12">
        <f t="shared" si="0"/>
        <v>0.47499999999999998</v>
      </c>
      <c r="G10" s="13">
        <f t="shared" si="1"/>
        <v>0</v>
      </c>
      <c r="H10" s="13">
        <f t="shared" si="2"/>
        <v>0</v>
      </c>
      <c r="I10" s="13">
        <f t="shared" si="3"/>
        <v>0</v>
      </c>
    </row>
    <row r="11" spans="2:9" x14ac:dyDescent="0.25">
      <c r="B11" s="9">
        <v>8</v>
      </c>
      <c r="C11" s="10">
        <f>'[13]Estimasi NPHR'!C11</f>
        <v>4473.5143879997604</v>
      </c>
      <c r="D11" s="11">
        <f>'[13]Estimasi NPHR'!D11</f>
        <v>0</v>
      </c>
      <c r="E11" s="12">
        <f>'[13]Coal Blend'!BV119</f>
        <v>0.53333333333333333</v>
      </c>
      <c r="F11" s="12">
        <f t="shared" si="0"/>
        <v>0.46666666666666667</v>
      </c>
      <c r="G11" s="13">
        <f t="shared" si="1"/>
        <v>0</v>
      </c>
      <c r="H11" s="13">
        <f t="shared" si="2"/>
        <v>0</v>
      </c>
      <c r="I11" s="13">
        <f t="shared" si="3"/>
        <v>0</v>
      </c>
    </row>
    <row r="12" spans="2:9" x14ac:dyDescent="0.25">
      <c r="B12" s="9">
        <v>9</v>
      </c>
      <c r="C12" s="10">
        <f>'[13]Estimasi NPHR'!C12</f>
        <v>4376.3754943389949</v>
      </c>
      <c r="D12" s="11">
        <f>'[13]Estimasi NPHR'!D12</f>
        <v>0</v>
      </c>
      <c r="E12" s="12">
        <f>'[13]Coal Blend'!BV135</f>
        <v>0.76666666666666661</v>
      </c>
      <c r="F12" s="12">
        <f t="shared" si="0"/>
        <v>0.23333333333333339</v>
      </c>
      <c r="G12" s="13">
        <f t="shared" si="1"/>
        <v>0</v>
      </c>
      <c r="H12" s="13">
        <f t="shared" si="2"/>
        <v>0</v>
      </c>
      <c r="I12" s="13">
        <f t="shared" si="3"/>
        <v>0</v>
      </c>
    </row>
    <row r="13" spans="2:9" x14ac:dyDescent="0.25">
      <c r="B13" s="9">
        <v>10</v>
      </c>
      <c r="C13" s="10">
        <f>'[13]Estimasi NPHR'!C13</f>
        <v>4350.7949754866031</v>
      </c>
      <c r="D13" s="11">
        <f>'[13]Estimasi NPHR'!D13</f>
        <v>0</v>
      </c>
      <c r="E13" s="12">
        <f>'[13]Coal Blend'!BV151</f>
        <v>0.4916666666666667</v>
      </c>
      <c r="F13" s="12">
        <f t="shared" si="0"/>
        <v>0.5083333333333333</v>
      </c>
      <c r="G13" s="13">
        <f t="shared" si="1"/>
        <v>0</v>
      </c>
      <c r="H13" s="13">
        <f t="shared" si="2"/>
        <v>0</v>
      </c>
      <c r="I13" s="13">
        <f t="shared" si="3"/>
        <v>0</v>
      </c>
    </row>
    <row r="14" spans="2:9" x14ac:dyDescent="0.25">
      <c r="B14" s="9">
        <v>11</v>
      </c>
      <c r="C14" s="10">
        <f>'[13]Estimasi NPHR'!C14</f>
        <v>4256.3023982210243</v>
      </c>
      <c r="D14" s="11">
        <f>'[13]Estimasi NPHR'!D14</f>
        <v>0</v>
      </c>
      <c r="E14" s="12">
        <f>'[13]Coal Blend'!BV167</f>
        <v>0.3833333333333333</v>
      </c>
      <c r="F14" s="12">
        <f t="shared" si="0"/>
        <v>0.6166666666666667</v>
      </c>
      <c r="G14" s="13">
        <f t="shared" si="1"/>
        <v>0</v>
      </c>
      <c r="H14" s="13">
        <f t="shared" si="2"/>
        <v>0</v>
      </c>
      <c r="I14" s="13">
        <f t="shared" si="3"/>
        <v>0</v>
      </c>
    </row>
    <row r="15" spans="2:9" x14ac:dyDescent="0.25">
      <c r="B15" s="9">
        <v>12</v>
      </c>
      <c r="C15" s="10">
        <f>'[13]Estimasi NPHR'!C15</f>
        <v>4261.4113411038488</v>
      </c>
      <c r="D15" s="11">
        <f>'[13]Estimasi NPHR'!D15</f>
        <v>0</v>
      </c>
      <c r="E15" s="12">
        <f>'[13]Coal Blend'!BV183</f>
        <v>0.54999999999999993</v>
      </c>
      <c r="F15" s="12">
        <f t="shared" si="0"/>
        <v>0.45000000000000007</v>
      </c>
      <c r="G15" s="13">
        <f t="shared" si="1"/>
        <v>0</v>
      </c>
      <c r="H15" s="13">
        <f t="shared" si="2"/>
        <v>0</v>
      </c>
      <c r="I15" s="13">
        <f t="shared" si="3"/>
        <v>0</v>
      </c>
    </row>
    <row r="16" spans="2:9" x14ac:dyDescent="0.25">
      <c r="B16" s="9">
        <v>13</v>
      </c>
      <c r="C16" s="10">
        <f>'[13]Estimasi NPHR'!C16</f>
        <v>4421.6466878313086</v>
      </c>
      <c r="D16" s="11">
        <f>'[13]Estimasi NPHR'!D16</f>
        <v>0</v>
      </c>
      <c r="E16" s="12">
        <f>'[13]Coal Blend'!BV199</f>
        <v>0.75</v>
      </c>
      <c r="F16" s="12">
        <f t="shared" si="0"/>
        <v>0.25</v>
      </c>
      <c r="G16" s="13">
        <f t="shared" si="1"/>
        <v>0</v>
      </c>
      <c r="H16" s="13">
        <f t="shared" si="2"/>
        <v>0</v>
      </c>
      <c r="I16" s="13">
        <f t="shared" si="3"/>
        <v>0</v>
      </c>
    </row>
    <row r="17" spans="2:9" x14ac:dyDescent="0.25">
      <c r="B17" s="9">
        <v>14</v>
      </c>
      <c r="C17" s="10">
        <f>'[13]Estimasi NPHR'!C17</f>
        <v>4474.2921175070032</v>
      </c>
      <c r="D17" s="11">
        <f>'[13]Estimasi NPHR'!D17</f>
        <v>0</v>
      </c>
      <c r="E17" s="12">
        <f>'[13]Coal Blend'!BV215</f>
        <v>0.91666666666666663</v>
      </c>
      <c r="F17" s="12">
        <f t="shared" si="0"/>
        <v>8.333333333333337E-2</v>
      </c>
      <c r="G17" s="13">
        <f t="shared" si="1"/>
        <v>0</v>
      </c>
      <c r="H17" s="13">
        <f t="shared" si="2"/>
        <v>0</v>
      </c>
      <c r="I17" s="13">
        <f t="shared" si="3"/>
        <v>0</v>
      </c>
    </row>
    <row r="18" spans="2:9" x14ac:dyDescent="0.25">
      <c r="B18" s="9">
        <v>15</v>
      </c>
      <c r="C18" s="10">
        <f>'[13]Estimasi NPHR'!C18</f>
        <v>4402.0441589130432</v>
      </c>
      <c r="D18" s="11">
        <f>'[13]Estimasi NPHR'!D18</f>
        <v>0</v>
      </c>
      <c r="E18" s="12">
        <f>'[13]Coal Blend'!BV231</f>
        <v>0.92499999999999993</v>
      </c>
      <c r="F18" s="12">
        <f t="shared" si="0"/>
        <v>7.5000000000000067E-2</v>
      </c>
      <c r="G18" s="13">
        <f t="shared" si="1"/>
        <v>0</v>
      </c>
      <c r="H18" s="13">
        <f t="shared" si="2"/>
        <v>0</v>
      </c>
      <c r="I18" s="13">
        <f t="shared" si="3"/>
        <v>0</v>
      </c>
    </row>
    <row r="19" spans="2:9" x14ac:dyDescent="0.25">
      <c r="B19" s="9">
        <v>16</v>
      </c>
      <c r="C19" s="10">
        <f>'[13]Estimasi NPHR'!C19</f>
        <v>4309.6105729729725</v>
      </c>
      <c r="D19" s="11">
        <f>'[13]Estimasi NPHR'!D19</f>
        <v>0</v>
      </c>
      <c r="E19" s="12">
        <f>'[13]Coal Blend'!BV247</f>
        <v>0.81666666666666676</v>
      </c>
      <c r="F19" s="12">
        <f t="shared" si="0"/>
        <v>0.18333333333333324</v>
      </c>
      <c r="G19" s="13">
        <f t="shared" si="1"/>
        <v>0</v>
      </c>
      <c r="H19" s="13">
        <f t="shared" si="2"/>
        <v>0</v>
      </c>
      <c r="I19" s="13">
        <f t="shared" si="3"/>
        <v>0</v>
      </c>
    </row>
    <row r="20" spans="2:9" x14ac:dyDescent="0.25">
      <c r="B20" s="9">
        <v>17</v>
      </c>
      <c r="C20" s="10">
        <f>'[13]Estimasi NPHR'!C20</f>
        <v>4202.7726681626928</v>
      </c>
      <c r="D20" s="11">
        <f>'[13]Estimasi NPHR'!D20</f>
        <v>0</v>
      </c>
      <c r="E20" s="12">
        <f>'[13]Coal Blend'!BV263</f>
        <v>0.43333333333333335</v>
      </c>
      <c r="F20" s="12">
        <f t="shared" si="0"/>
        <v>0.56666666666666665</v>
      </c>
      <c r="G20" s="13">
        <f t="shared" si="1"/>
        <v>0</v>
      </c>
      <c r="H20" s="13">
        <f t="shared" si="2"/>
        <v>0</v>
      </c>
      <c r="I20" s="13">
        <f t="shared" si="3"/>
        <v>0</v>
      </c>
    </row>
    <row r="21" spans="2:9" x14ac:dyDescent="0.25">
      <c r="B21" s="9">
        <v>18</v>
      </c>
      <c r="C21" s="10">
        <f>'[13]Estimasi NPHR'!C21</f>
        <v>4323.1552228571427</v>
      </c>
      <c r="D21" s="11">
        <f>'[13]Estimasi NPHR'!D21</f>
        <v>0</v>
      </c>
      <c r="E21" s="12">
        <f>'[13]Coal Blend'!BV279</f>
        <v>0.73333333333333339</v>
      </c>
      <c r="F21" s="12">
        <f t="shared" si="0"/>
        <v>0.26666666666666661</v>
      </c>
      <c r="G21" s="13">
        <f t="shared" si="1"/>
        <v>0</v>
      </c>
      <c r="H21" s="13">
        <f t="shared" si="2"/>
        <v>0</v>
      </c>
      <c r="I21" s="13">
        <f t="shared" si="3"/>
        <v>0</v>
      </c>
    </row>
    <row r="22" spans="2:9" x14ac:dyDescent="0.25">
      <c r="B22" s="9">
        <v>19</v>
      </c>
      <c r="C22" s="10">
        <f>'[13]Estimasi NPHR'!C22</f>
        <v>4166.0104252111769</v>
      </c>
      <c r="D22" s="11">
        <f>'[13]Estimasi NPHR'!D22</f>
        <v>0</v>
      </c>
      <c r="E22" s="12">
        <f>'[13]Coal Blend'!BV295</f>
        <v>0.41666666666666669</v>
      </c>
      <c r="F22" s="12">
        <f t="shared" si="0"/>
        <v>0.58333333333333326</v>
      </c>
      <c r="G22" s="13">
        <f t="shared" si="1"/>
        <v>0</v>
      </c>
      <c r="H22" s="13">
        <f t="shared" si="2"/>
        <v>0</v>
      </c>
      <c r="I22" s="13">
        <f t="shared" si="3"/>
        <v>0</v>
      </c>
    </row>
    <row r="23" spans="2:9" x14ac:dyDescent="0.25">
      <c r="B23" s="9">
        <v>20</v>
      </c>
      <c r="C23" s="10">
        <f>'[13]Estimasi NPHR'!C23</f>
        <v>4286.6555337037034</v>
      </c>
      <c r="D23" s="11">
        <f>'[13]Estimasi NPHR'!D23</f>
        <v>0</v>
      </c>
      <c r="E23" s="12">
        <f>'[13]Coal Blend'!BV311</f>
        <v>0.57500000000000007</v>
      </c>
      <c r="F23" s="12">
        <f t="shared" si="0"/>
        <v>0.42499999999999993</v>
      </c>
      <c r="G23" s="13">
        <f t="shared" si="1"/>
        <v>0</v>
      </c>
      <c r="H23" s="13">
        <f t="shared" si="2"/>
        <v>0</v>
      </c>
      <c r="I23" s="13">
        <f t="shared" si="3"/>
        <v>0</v>
      </c>
    </row>
    <row r="24" spans="2:9" x14ac:dyDescent="0.25">
      <c r="B24" s="9">
        <v>21</v>
      </c>
      <c r="C24" s="10">
        <f>'[13]Estimasi NPHR'!C24</f>
        <v>4231.3009115036702</v>
      </c>
      <c r="D24" s="11">
        <f>'[13]Estimasi NPHR'!D24</f>
        <v>0</v>
      </c>
      <c r="E24" s="12">
        <f>'[13]Coal Blend'!BV327</f>
        <v>0.45</v>
      </c>
      <c r="F24" s="12">
        <f t="shared" si="0"/>
        <v>0.55000000000000004</v>
      </c>
      <c r="G24" s="13">
        <f t="shared" si="1"/>
        <v>0</v>
      </c>
      <c r="H24" s="13">
        <f t="shared" si="2"/>
        <v>0</v>
      </c>
      <c r="I24" s="13">
        <f t="shared" si="3"/>
        <v>0</v>
      </c>
    </row>
    <row r="25" spans="2:9" x14ac:dyDescent="0.25">
      <c r="B25" s="9">
        <v>22</v>
      </c>
      <c r="C25" s="10">
        <f>'[13]Estimasi NPHR'!C25</f>
        <v>4213.3782425141244</v>
      </c>
      <c r="D25" s="11">
        <f>'[13]Estimasi NPHR'!D25</f>
        <v>0</v>
      </c>
      <c r="E25" s="12">
        <f>'[13]Coal Blend'!BV343</f>
        <v>0.33333333333333331</v>
      </c>
      <c r="F25" s="12">
        <f t="shared" si="0"/>
        <v>0.66666666666666674</v>
      </c>
      <c r="G25" s="13">
        <f t="shared" si="1"/>
        <v>0</v>
      </c>
      <c r="H25" s="13">
        <f t="shared" si="2"/>
        <v>0</v>
      </c>
      <c r="I25" s="13">
        <f t="shared" si="3"/>
        <v>0</v>
      </c>
    </row>
    <row r="26" spans="2:9" x14ac:dyDescent="0.25">
      <c r="B26" s="9">
        <v>23</v>
      </c>
      <c r="C26" s="10">
        <f>'[13]Estimasi NPHR'!C26</f>
        <v>4252.0786482758622</v>
      </c>
      <c r="D26" s="11">
        <f>'[13]Estimasi NPHR'!D26</f>
        <v>0</v>
      </c>
      <c r="E26" s="12">
        <f>'[13]Coal Blend'!BV359</f>
        <v>0.39999999999999997</v>
      </c>
      <c r="F26" s="12">
        <f t="shared" si="0"/>
        <v>0.60000000000000009</v>
      </c>
      <c r="G26" s="13">
        <f t="shared" si="1"/>
        <v>0</v>
      </c>
      <c r="H26" s="13">
        <f t="shared" si="2"/>
        <v>0</v>
      </c>
      <c r="I26" s="13">
        <f t="shared" si="3"/>
        <v>0</v>
      </c>
    </row>
    <row r="27" spans="2:9" x14ac:dyDescent="0.25">
      <c r="B27" s="9">
        <v>24</v>
      </c>
      <c r="C27" s="10">
        <f>'[13]Estimasi NPHR'!C27</f>
        <v>4198.2794880919537</v>
      </c>
      <c r="D27" s="11">
        <f>'[13]Estimasi NPHR'!D27</f>
        <v>0</v>
      </c>
      <c r="E27" s="12">
        <f>'[13]Coal Blend'!BV375</f>
        <v>0.3833333333333333</v>
      </c>
      <c r="F27" s="12">
        <f t="shared" si="0"/>
        <v>0.6166666666666667</v>
      </c>
      <c r="G27" s="13">
        <f t="shared" si="1"/>
        <v>0</v>
      </c>
      <c r="H27" s="13">
        <f t="shared" si="2"/>
        <v>0</v>
      </c>
      <c r="I27" s="13">
        <f t="shared" si="3"/>
        <v>0</v>
      </c>
    </row>
    <row r="28" spans="2:9" x14ac:dyDescent="0.25">
      <c r="B28" s="9">
        <v>25</v>
      </c>
      <c r="C28" s="10">
        <f>'[13]Estimasi NPHR'!C28</f>
        <v>4194.9180014868471</v>
      </c>
      <c r="D28" s="11">
        <f>'[13]Estimasi NPHR'!D28</f>
        <v>0</v>
      </c>
      <c r="E28" s="12">
        <f>'[13]Coal Blend'!BV391</f>
        <v>0.33333333333333331</v>
      </c>
      <c r="F28" s="12">
        <f t="shared" si="0"/>
        <v>0.66666666666666674</v>
      </c>
      <c r="G28" s="13">
        <f t="shared" si="1"/>
        <v>0</v>
      </c>
      <c r="H28" s="13">
        <f t="shared" si="2"/>
        <v>0</v>
      </c>
      <c r="I28" s="13">
        <f t="shared" si="3"/>
        <v>0</v>
      </c>
    </row>
    <row r="29" spans="2:9" x14ac:dyDescent="0.25">
      <c r="B29" s="9">
        <v>26</v>
      </c>
      <c r="C29" s="10">
        <f>'[13]Estimasi NPHR'!C29</f>
        <v>4160.6228903278679</v>
      </c>
      <c r="D29" s="11">
        <f>'[13]Estimasi NPHR'!D29</f>
        <v>0</v>
      </c>
      <c r="E29" s="12">
        <f>'[13]Coal Blend'!BV407</f>
        <v>0.39999999999999997</v>
      </c>
      <c r="F29" s="12">
        <f t="shared" si="0"/>
        <v>0.60000000000000009</v>
      </c>
      <c r="G29" s="13">
        <f t="shared" si="1"/>
        <v>0</v>
      </c>
      <c r="H29" s="13">
        <f t="shared" si="2"/>
        <v>0</v>
      </c>
      <c r="I29" s="13">
        <f t="shared" si="3"/>
        <v>0</v>
      </c>
    </row>
    <row r="30" spans="2:9" x14ac:dyDescent="0.25">
      <c r="B30" s="9">
        <v>27</v>
      </c>
      <c r="C30" s="10">
        <f>'[13]Estimasi NPHR'!C30</f>
        <v>4334.2564871794866</v>
      </c>
      <c r="D30" s="11">
        <f>'[13]Estimasi NPHR'!D30</f>
        <v>0</v>
      </c>
      <c r="E30" s="12">
        <f>'[13]Coal Blend'!BV423</f>
        <v>0.45833333333333331</v>
      </c>
      <c r="F30" s="12">
        <f t="shared" si="0"/>
        <v>0.54166666666666674</v>
      </c>
      <c r="G30" s="13">
        <f t="shared" si="1"/>
        <v>0</v>
      </c>
      <c r="H30" s="13">
        <f t="shared" si="2"/>
        <v>0</v>
      </c>
      <c r="I30" s="13">
        <f t="shared" si="3"/>
        <v>0</v>
      </c>
    </row>
    <row r="31" spans="2:9" x14ac:dyDescent="0.25">
      <c r="B31" s="9">
        <v>28</v>
      </c>
      <c r="C31" s="10">
        <f>'[13]Estimasi NPHR'!C31</f>
        <v>4264.8614029914525</v>
      </c>
      <c r="D31" s="11">
        <f>'[13]Estimasi NPHR'!D31</f>
        <v>0</v>
      </c>
      <c r="E31" s="12">
        <f>'[13]Coal Blend'!BV439</f>
        <v>0.3833333333333333</v>
      </c>
      <c r="F31" s="12">
        <f t="shared" si="0"/>
        <v>0.6166666666666667</v>
      </c>
      <c r="G31" s="13">
        <f t="shared" si="1"/>
        <v>0</v>
      </c>
      <c r="H31" s="13">
        <f t="shared" si="2"/>
        <v>0</v>
      </c>
      <c r="I31" s="13">
        <f t="shared" si="3"/>
        <v>0</v>
      </c>
    </row>
    <row r="32" spans="2:9" x14ac:dyDescent="0.25">
      <c r="B32" s="9">
        <v>29</v>
      </c>
      <c r="C32" s="10">
        <f>'[13]Estimasi NPHR'!C32</f>
        <v>4267.7696924870897</v>
      </c>
      <c r="D32" s="11">
        <f>'[13]Estimasi NPHR'!D32</f>
        <v>0</v>
      </c>
      <c r="E32" s="12">
        <f>'[13]Coal Blend'!BV455</f>
        <v>0.51666666666666661</v>
      </c>
      <c r="F32" s="12">
        <f t="shared" si="0"/>
        <v>0.48333333333333339</v>
      </c>
      <c r="G32" s="13">
        <f t="shared" si="1"/>
        <v>0</v>
      </c>
      <c r="H32" s="13">
        <f t="shared" si="2"/>
        <v>0</v>
      </c>
      <c r="I32" s="13">
        <f t="shared" si="3"/>
        <v>0</v>
      </c>
    </row>
    <row r="33" spans="2:9" ht="15.75" thickBot="1" x14ac:dyDescent="0.3">
      <c r="B33" s="9">
        <v>30</v>
      </c>
      <c r="C33" s="10">
        <f>'[13]Estimasi NPHR'!C33</f>
        <v>4398.7573868112013</v>
      </c>
      <c r="D33" s="11">
        <f>'[13]Estimasi NPHR'!D33</f>
        <v>0</v>
      </c>
      <c r="E33" s="12">
        <f>'[13]Coal Blend'!BV471</f>
        <v>0.77500000000000002</v>
      </c>
      <c r="F33" s="12">
        <f t="shared" si="0"/>
        <v>0.22499999999999998</v>
      </c>
      <c r="G33" s="13">
        <f t="shared" si="1"/>
        <v>0</v>
      </c>
      <c r="H33" s="13">
        <f t="shared" si="2"/>
        <v>0</v>
      </c>
      <c r="I33" s="13">
        <f t="shared" si="3"/>
        <v>0</v>
      </c>
    </row>
    <row r="34" spans="2:9" ht="15.75" thickBot="1" x14ac:dyDescent="0.3">
      <c r="B34" s="14"/>
      <c r="C34" s="15">
        <f>IF(D34=0,0,I34/D34)</f>
        <v>0</v>
      </c>
      <c r="D34" s="16">
        <f>SUM(D4:D33)</f>
        <v>0</v>
      </c>
      <c r="E34" s="16"/>
      <c r="F34" s="16"/>
      <c r="G34" s="16">
        <f>SUM(G4:G33)</f>
        <v>0</v>
      </c>
      <c r="H34" s="16">
        <f>SUM(H4:H33)</f>
        <v>0</v>
      </c>
      <c r="I34" s="17">
        <f>SUM(I4:I33)</f>
        <v>0</v>
      </c>
    </row>
    <row r="35" spans="2:9" x14ac:dyDescent="0.25">
      <c r="D35" s="18">
        <f>MAX(D4:D33)</f>
        <v>0</v>
      </c>
    </row>
  </sheetData>
  <mergeCells count="2">
    <mergeCell ref="B2:B3"/>
    <mergeCell ref="C2:I2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3CC93-547E-4D94-846B-13AE6C186A06}">
  <dimension ref="B1:I35"/>
  <sheetViews>
    <sheetView workbookViewId="0">
      <selection activeCell="O36" sqref="O36"/>
    </sheetView>
  </sheetViews>
  <sheetFormatPr defaultRowHeight="15" x14ac:dyDescent="0.25"/>
  <cols>
    <col min="2" max="2" width="8.5703125" bestFit="1" customWidth="1"/>
    <col min="3" max="3" width="9.5703125" bestFit="1" customWidth="1"/>
    <col min="4" max="4" width="11.5703125" bestFit="1" customWidth="1"/>
    <col min="5" max="6" width="5.5703125" bestFit="1" customWidth="1"/>
    <col min="7" max="8" width="10.5703125" bestFit="1" customWidth="1"/>
    <col min="9" max="9" width="12.5703125" bestFit="1" customWidth="1"/>
  </cols>
  <sheetData>
    <row r="1" spans="2:9" ht="15.75" thickBot="1" x14ac:dyDescent="0.3"/>
    <row r="2" spans="2:9" ht="16.5" thickBot="1" x14ac:dyDescent="0.3">
      <c r="B2" s="1" t="s">
        <v>6</v>
      </c>
      <c r="C2" s="2" t="s">
        <v>5</v>
      </c>
      <c r="D2" s="3"/>
      <c r="E2" s="3"/>
      <c r="F2" s="3"/>
      <c r="G2" s="3"/>
      <c r="H2" s="3"/>
      <c r="I2" s="4"/>
    </row>
    <row r="3" spans="2:9" ht="16.5" thickBot="1" x14ac:dyDescent="0.3">
      <c r="B3" s="5"/>
      <c r="C3" s="6" t="s">
        <v>4</v>
      </c>
      <c r="D3" s="7" t="s">
        <v>0</v>
      </c>
      <c r="E3" s="8" t="s">
        <v>1</v>
      </c>
      <c r="F3" s="8" t="s">
        <v>2</v>
      </c>
      <c r="G3" s="8" t="s">
        <v>1</v>
      </c>
      <c r="H3" s="8" t="s">
        <v>2</v>
      </c>
      <c r="I3" s="8" t="s">
        <v>3</v>
      </c>
    </row>
    <row r="4" spans="2:9" x14ac:dyDescent="0.25">
      <c r="B4" s="9">
        <v>1</v>
      </c>
      <c r="C4" s="10">
        <f>'[14]Estimasi NPHR'!C4</f>
        <v>4177.4685057471261</v>
      </c>
      <c r="D4" s="11">
        <f>'[14]Estimasi NPHR'!D4</f>
        <v>0</v>
      </c>
      <c r="E4" s="12">
        <f>'[14]Coal Blend'!BV7</f>
        <v>0.25</v>
      </c>
      <c r="F4" s="12">
        <f>1-E4</f>
        <v>0.75</v>
      </c>
      <c r="G4" s="13">
        <f>_xlfn.IFNA(E4*D4,0)</f>
        <v>0</v>
      </c>
      <c r="H4" s="13">
        <f>_xlfn.IFNA(F4*D4,0)</f>
        <v>0</v>
      </c>
      <c r="I4" s="13">
        <f>C4*D4</f>
        <v>0</v>
      </c>
    </row>
    <row r="5" spans="2:9" x14ac:dyDescent="0.25">
      <c r="B5" s="9">
        <v>2</v>
      </c>
      <c r="C5" s="10">
        <f>'[14]Estimasi NPHR'!C5</f>
        <v>4124.8867042483662</v>
      </c>
      <c r="D5" s="11">
        <f>'[14]Estimasi NPHR'!D5</f>
        <v>0</v>
      </c>
      <c r="E5" s="12">
        <f>'[14]Coal Blend'!BV23</f>
        <v>0.48333333333333334</v>
      </c>
      <c r="F5" s="12">
        <f t="shared" ref="F5:F33" si="0">1-E5</f>
        <v>0.51666666666666661</v>
      </c>
      <c r="G5" s="13">
        <f t="shared" ref="G5:G33" si="1">_xlfn.IFNA(E5*D5,0)</f>
        <v>0</v>
      </c>
      <c r="H5" s="13">
        <f t="shared" ref="H5:H33" si="2">_xlfn.IFNA(F5*D5,0)</f>
        <v>0</v>
      </c>
      <c r="I5" s="13">
        <f t="shared" ref="I5:I33" si="3">C5*D5</f>
        <v>0</v>
      </c>
    </row>
    <row r="6" spans="2:9" x14ac:dyDescent="0.25">
      <c r="B6" s="9">
        <v>3</v>
      </c>
      <c r="C6" s="10">
        <f>'[14]Estimasi NPHR'!C6</f>
        <v>4360.7168071264359</v>
      </c>
      <c r="D6" s="11">
        <f>'[14]Estimasi NPHR'!D6</f>
        <v>0</v>
      </c>
      <c r="E6" s="12">
        <f>'[14]Coal Blend'!BV39</f>
        <v>0.56666666666666665</v>
      </c>
      <c r="F6" s="12">
        <f t="shared" si="0"/>
        <v>0.43333333333333335</v>
      </c>
      <c r="G6" s="13">
        <f t="shared" si="1"/>
        <v>0</v>
      </c>
      <c r="H6" s="13">
        <f t="shared" si="2"/>
        <v>0</v>
      </c>
      <c r="I6" s="13">
        <f t="shared" si="3"/>
        <v>0</v>
      </c>
    </row>
    <row r="7" spans="2:9" x14ac:dyDescent="0.25">
      <c r="B7" s="9">
        <v>4</v>
      </c>
      <c r="C7" s="10">
        <f>'[14]Estimasi NPHR'!C7</f>
        <v>4371.622831515152</v>
      </c>
      <c r="D7" s="11">
        <f>'[14]Estimasi NPHR'!D7</f>
        <v>0</v>
      </c>
      <c r="E7" s="12">
        <f>'[14]Coal Blend'!BV55</f>
        <v>0.60833333333333339</v>
      </c>
      <c r="F7" s="12">
        <f t="shared" si="0"/>
        <v>0.39166666666666661</v>
      </c>
      <c r="G7" s="13">
        <f t="shared" si="1"/>
        <v>0</v>
      </c>
      <c r="H7" s="13">
        <f t="shared" si="2"/>
        <v>0</v>
      </c>
      <c r="I7" s="13">
        <f t="shared" si="3"/>
        <v>0</v>
      </c>
    </row>
    <row r="8" spans="2:9" x14ac:dyDescent="0.25">
      <c r="B8" s="9">
        <v>5</v>
      </c>
      <c r="C8" s="10">
        <f>'[14]Estimasi NPHR'!C8</f>
        <v>4436.9456405458086</v>
      </c>
      <c r="D8" s="11">
        <f>'[14]Estimasi NPHR'!D8</f>
        <v>0</v>
      </c>
      <c r="E8" s="12">
        <f>'[14]Coal Blend'!BV71</f>
        <v>0.8833333333333333</v>
      </c>
      <c r="F8" s="12">
        <f t="shared" si="0"/>
        <v>0.1166666666666667</v>
      </c>
      <c r="G8" s="13">
        <f t="shared" si="1"/>
        <v>0</v>
      </c>
      <c r="H8" s="13">
        <f t="shared" si="2"/>
        <v>0</v>
      </c>
      <c r="I8" s="13">
        <f t="shared" si="3"/>
        <v>0</v>
      </c>
    </row>
    <row r="9" spans="2:9" x14ac:dyDescent="0.25">
      <c r="B9" s="9">
        <v>6</v>
      </c>
      <c r="C9" s="10">
        <f>'[14]Estimasi NPHR'!C9</f>
        <v>4299.3017089947089</v>
      </c>
      <c r="D9" s="11">
        <f>'[14]Estimasi NPHR'!D9</f>
        <v>0</v>
      </c>
      <c r="E9" s="12">
        <f>'[14]Coal Blend'!BV87</f>
        <v>0.64166666666666661</v>
      </c>
      <c r="F9" s="12">
        <f t="shared" si="0"/>
        <v>0.35833333333333339</v>
      </c>
      <c r="G9" s="13">
        <f t="shared" si="1"/>
        <v>0</v>
      </c>
      <c r="H9" s="13">
        <f t="shared" si="2"/>
        <v>0</v>
      </c>
      <c r="I9" s="13">
        <f t="shared" si="3"/>
        <v>0</v>
      </c>
    </row>
    <row r="10" spans="2:9" x14ac:dyDescent="0.25">
      <c r="B10" s="9">
        <v>7</v>
      </c>
      <c r="C10" s="10">
        <f>'[14]Estimasi NPHR'!C10</f>
        <v>4363.7139954545455</v>
      </c>
      <c r="D10" s="11">
        <f>'[14]Estimasi NPHR'!D10</f>
        <v>0</v>
      </c>
      <c r="E10" s="12">
        <f>'[14]Coal Blend'!BV103</f>
        <v>0.55000000000000004</v>
      </c>
      <c r="F10" s="12">
        <f t="shared" si="0"/>
        <v>0.44999999999999996</v>
      </c>
      <c r="G10" s="13">
        <f t="shared" si="1"/>
        <v>0</v>
      </c>
      <c r="H10" s="13">
        <f t="shared" si="2"/>
        <v>0</v>
      </c>
      <c r="I10" s="13">
        <f t="shared" si="3"/>
        <v>0</v>
      </c>
    </row>
    <row r="11" spans="2:9" x14ac:dyDescent="0.25">
      <c r="B11" s="9">
        <v>8</v>
      </c>
      <c r="C11" s="10">
        <f>'[14]Estimasi NPHR'!C11</f>
        <v>4308.4576608187126</v>
      </c>
      <c r="D11" s="11">
        <f>'[14]Estimasi NPHR'!D11</f>
        <v>0</v>
      </c>
      <c r="E11" s="12">
        <f>'[14]Coal Blend'!BV119</f>
        <v>0.73333333333333339</v>
      </c>
      <c r="F11" s="12">
        <f t="shared" si="0"/>
        <v>0.26666666666666661</v>
      </c>
      <c r="G11" s="13">
        <f t="shared" si="1"/>
        <v>0</v>
      </c>
      <c r="H11" s="13">
        <f t="shared" si="2"/>
        <v>0</v>
      </c>
      <c r="I11" s="13">
        <f t="shared" si="3"/>
        <v>0</v>
      </c>
    </row>
    <row r="12" spans="2:9" x14ac:dyDescent="0.25">
      <c r="B12" s="9">
        <v>9</v>
      </c>
      <c r="C12" s="10">
        <f>'[14]Estimasi NPHR'!C12</f>
        <v>4313.7863449794704</v>
      </c>
      <c r="D12" s="11">
        <f>'[14]Estimasi NPHR'!D12</f>
        <v>0</v>
      </c>
      <c r="E12" s="12">
        <f>'[14]Coal Blend'!BV135</f>
        <v>0.65</v>
      </c>
      <c r="F12" s="12">
        <f t="shared" si="0"/>
        <v>0.35</v>
      </c>
      <c r="G12" s="13">
        <f t="shared" si="1"/>
        <v>0</v>
      </c>
      <c r="H12" s="13">
        <f t="shared" si="2"/>
        <v>0</v>
      </c>
      <c r="I12" s="13">
        <f t="shared" si="3"/>
        <v>0</v>
      </c>
    </row>
    <row r="13" spans="2:9" x14ac:dyDescent="0.25">
      <c r="B13" s="9">
        <v>10</v>
      </c>
      <c r="C13" s="10">
        <f>'[14]Estimasi NPHR'!C13</f>
        <v>4348.3954540115801</v>
      </c>
      <c r="D13" s="11">
        <f>'[14]Estimasi NPHR'!D13</f>
        <v>0</v>
      </c>
      <c r="E13" s="12">
        <f>'[14]Coal Blend'!BV151</f>
        <v>0.73333333333333339</v>
      </c>
      <c r="F13" s="12">
        <f t="shared" si="0"/>
        <v>0.26666666666666661</v>
      </c>
      <c r="G13" s="13">
        <f t="shared" si="1"/>
        <v>0</v>
      </c>
      <c r="H13" s="13">
        <f t="shared" si="2"/>
        <v>0</v>
      </c>
      <c r="I13" s="13">
        <f t="shared" si="3"/>
        <v>0</v>
      </c>
    </row>
    <row r="14" spans="2:9" x14ac:dyDescent="0.25">
      <c r="B14" s="9">
        <v>11</v>
      </c>
      <c r="C14" s="10">
        <f>'[14]Estimasi NPHR'!C14</f>
        <v>4304.8410951048954</v>
      </c>
      <c r="D14" s="11">
        <f>'[14]Estimasi NPHR'!D14</f>
        <v>0</v>
      </c>
      <c r="E14" s="12">
        <f>'[14]Coal Blend'!BV167</f>
        <v>0.45</v>
      </c>
      <c r="F14" s="12">
        <f t="shared" si="0"/>
        <v>0.55000000000000004</v>
      </c>
      <c r="G14" s="13">
        <f t="shared" si="1"/>
        <v>0</v>
      </c>
      <c r="H14" s="13">
        <f t="shared" si="2"/>
        <v>0</v>
      </c>
      <c r="I14" s="13">
        <f t="shared" si="3"/>
        <v>0</v>
      </c>
    </row>
    <row r="15" spans="2:9" x14ac:dyDescent="0.25">
      <c r="B15" s="9">
        <v>12</v>
      </c>
      <c r="C15" s="10">
        <f>'[14]Estimasi NPHR'!C15</f>
        <v>4206.8083933751996</v>
      </c>
      <c r="D15" s="11">
        <f>'[14]Estimasi NPHR'!D15</f>
        <v>0</v>
      </c>
      <c r="E15" s="12">
        <f>'[14]Coal Blend'!BV183</f>
        <v>0.56666666666666676</v>
      </c>
      <c r="F15" s="12">
        <f t="shared" si="0"/>
        <v>0.43333333333333324</v>
      </c>
      <c r="G15" s="13">
        <f t="shared" si="1"/>
        <v>0</v>
      </c>
      <c r="H15" s="13">
        <f t="shared" si="2"/>
        <v>0</v>
      </c>
      <c r="I15" s="13">
        <f t="shared" si="3"/>
        <v>0</v>
      </c>
    </row>
    <row r="16" spans="2:9" x14ac:dyDescent="0.25">
      <c r="B16" s="9">
        <v>13</v>
      </c>
      <c r="C16" s="10">
        <f>'[14]Estimasi NPHR'!C16</f>
        <v>4059.4780724388183</v>
      </c>
      <c r="D16" s="11">
        <f>'[14]Estimasi NPHR'!D16</f>
        <v>0</v>
      </c>
      <c r="E16" s="12">
        <f>'[14]Coal Blend'!BV199</f>
        <v>0.31666666666666671</v>
      </c>
      <c r="F16" s="12">
        <f t="shared" si="0"/>
        <v>0.68333333333333335</v>
      </c>
      <c r="G16" s="13">
        <f t="shared" si="1"/>
        <v>0</v>
      </c>
      <c r="H16" s="13">
        <f t="shared" si="2"/>
        <v>0</v>
      </c>
      <c r="I16" s="13">
        <f t="shared" si="3"/>
        <v>0</v>
      </c>
    </row>
    <row r="17" spans="2:9" x14ac:dyDescent="0.25">
      <c r="B17" s="9">
        <v>14</v>
      </c>
      <c r="C17" s="10">
        <f>'[14]Estimasi NPHR'!C17</f>
        <v>4171.9117415384617</v>
      </c>
      <c r="D17" s="11">
        <f>'[14]Estimasi NPHR'!D17</f>
        <v>0</v>
      </c>
      <c r="E17" s="12">
        <f>'[14]Coal Blend'!BV215</f>
        <v>0.45</v>
      </c>
      <c r="F17" s="12">
        <f t="shared" si="0"/>
        <v>0.55000000000000004</v>
      </c>
      <c r="G17" s="13">
        <f t="shared" si="1"/>
        <v>0</v>
      </c>
      <c r="H17" s="13">
        <f t="shared" si="2"/>
        <v>0</v>
      </c>
      <c r="I17" s="13">
        <f t="shared" si="3"/>
        <v>0</v>
      </c>
    </row>
    <row r="18" spans="2:9" x14ac:dyDescent="0.25">
      <c r="B18" s="9">
        <v>15</v>
      </c>
      <c r="C18" s="10">
        <f>'[14]Estimasi NPHR'!C18</f>
        <v>4224.7939393939387</v>
      </c>
      <c r="D18" s="11">
        <f>'[14]Estimasi NPHR'!D18</f>
        <v>0</v>
      </c>
      <c r="E18" s="12">
        <f>'[14]Coal Blend'!BV231</f>
        <v>0.45</v>
      </c>
      <c r="F18" s="12">
        <f t="shared" si="0"/>
        <v>0.55000000000000004</v>
      </c>
      <c r="G18" s="13">
        <f t="shared" si="1"/>
        <v>0</v>
      </c>
      <c r="H18" s="13">
        <f t="shared" si="2"/>
        <v>0</v>
      </c>
      <c r="I18" s="13">
        <f t="shared" si="3"/>
        <v>0</v>
      </c>
    </row>
    <row r="19" spans="2:9" x14ac:dyDescent="0.25">
      <c r="B19" s="9">
        <v>16</v>
      </c>
      <c r="C19" s="10">
        <f>'[14]Estimasi NPHR'!C19</f>
        <v>4054.2319047619044</v>
      </c>
      <c r="D19" s="11">
        <f>'[14]Estimasi NPHR'!D19</f>
        <v>0</v>
      </c>
      <c r="E19" s="12">
        <f>'[14]Coal Blend'!BV247</f>
        <v>0.18333333333333335</v>
      </c>
      <c r="F19" s="12">
        <f t="shared" si="0"/>
        <v>0.81666666666666665</v>
      </c>
      <c r="G19" s="13">
        <f t="shared" si="1"/>
        <v>0</v>
      </c>
      <c r="H19" s="13">
        <f t="shared" si="2"/>
        <v>0</v>
      </c>
      <c r="I19" s="13">
        <f t="shared" si="3"/>
        <v>0</v>
      </c>
    </row>
    <row r="20" spans="2:9" x14ac:dyDescent="0.25">
      <c r="B20" s="9">
        <v>17</v>
      </c>
      <c r="C20" s="10">
        <f>'[14]Estimasi NPHR'!C20</f>
        <v>4130.2738544858703</v>
      </c>
      <c r="D20" s="11">
        <f>'[14]Estimasi NPHR'!D20</f>
        <v>0</v>
      </c>
      <c r="E20" s="12">
        <f>'[14]Coal Blend'!BV263</f>
        <v>0.26666666666666666</v>
      </c>
      <c r="F20" s="12">
        <f t="shared" si="0"/>
        <v>0.73333333333333339</v>
      </c>
      <c r="G20" s="13">
        <f t="shared" si="1"/>
        <v>0</v>
      </c>
      <c r="H20" s="13">
        <f t="shared" si="2"/>
        <v>0</v>
      </c>
      <c r="I20" s="13">
        <f t="shared" si="3"/>
        <v>0</v>
      </c>
    </row>
    <row r="21" spans="2:9" x14ac:dyDescent="0.25">
      <c r="B21" s="9">
        <v>18</v>
      </c>
      <c r="C21" s="10">
        <f>'[14]Estimasi NPHR'!C21</f>
        <v>4090.7534469193415</v>
      </c>
      <c r="D21" s="11">
        <f>'[14]Estimasi NPHR'!D21</f>
        <v>0</v>
      </c>
      <c r="E21" s="12">
        <f>'[14]Coal Blend'!BV279</f>
        <v>0.11666666666666665</v>
      </c>
      <c r="F21" s="12">
        <f t="shared" si="0"/>
        <v>0.8833333333333333</v>
      </c>
      <c r="G21" s="13">
        <f t="shared" si="1"/>
        <v>0</v>
      </c>
      <c r="H21" s="13">
        <f t="shared" si="2"/>
        <v>0</v>
      </c>
      <c r="I21" s="13">
        <f t="shared" si="3"/>
        <v>0</v>
      </c>
    </row>
    <row r="22" spans="2:9" x14ac:dyDescent="0.25">
      <c r="B22" s="9">
        <v>19</v>
      </c>
      <c r="C22" s="10">
        <f>'[14]Estimasi NPHR'!C22</f>
        <v>4065.876224248565</v>
      </c>
      <c r="D22" s="11">
        <f>'[14]Estimasi NPHR'!D22</f>
        <v>0</v>
      </c>
      <c r="E22" s="12">
        <f>'[14]Coal Blend'!BV295</f>
        <v>0</v>
      </c>
      <c r="F22" s="12">
        <f t="shared" si="0"/>
        <v>1</v>
      </c>
      <c r="G22" s="13">
        <f t="shared" si="1"/>
        <v>0</v>
      </c>
      <c r="H22" s="13">
        <f t="shared" si="2"/>
        <v>0</v>
      </c>
      <c r="I22" s="13">
        <f t="shared" si="3"/>
        <v>0</v>
      </c>
    </row>
    <row r="23" spans="2:9" x14ac:dyDescent="0.25">
      <c r="B23" s="9">
        <v>20</v>
      </c>
      <c r="C23" s="10">
        <f>'[14]Estimasi NPHR'!C23</f>
        <v>4155.3810887009322</v>
      </c>
      <c r="D23" s="11">
        <f>'[14]Estimasi NPHR'!D23</f>
        <v>0</v>
      </c>
      <c r="E23" s="12">
        <f>'[14]Coal Blend'!BV311</f>
        <v>0.43333333333333335</v>
      </c>
      <c r="F23" s="12">
        <f t="shared" si="0"/>
        <v>0.56666666666666665</v>
      </c>
      <c r="G23" s="13">
        <f t="shared" si="1"/>
        <v>0</v>
      </c>
      <c r="H23" s="13">
        <f t="shared" si="2"/>
        <v>0</v>
      </c>
      <c r="I23" s="13">
        <f t="shared" si="3"/>
        <v>0</v>
      </c>
    </row>
    <row r="24" spans="2:9" x14ac:dyDescent="0.25">
      <c r="B24" s="9">
        <v>21</v>
      </c>
      <c r="C24" s="10">
        <f>'[14]Estimasi NPHR'!C24</f>
        <v>4248.1106060606062</v>
      </c>
      <c r="D24" s="11">
        <f>'[14]Estimasi NPHR'!D24</f>
        <v>0</v>
      </c>
      <c r="E24" s="12">
        <f>'[14]Coal Blend'!BV327</f>
        <v>0.75</v>
      </c>
      <c r="F24" s="12">
        <f t="shared" si="0"/>
        <v>0.25</v>
      </c>
      <c r="G24" s="13">
        <f t="shared" si="1"/>
        <v>0</v>
      </c>
      <c r="H24" s="13">
        <f t="shared" si="2"/>
        <v>0</v>
      </c>
      <c r="I24" s="13">
        <f t="shared" si="3"/>
        <v>0</v>
      </c>
    </row>
    <row r="25" spans="2:9" x14ac:dyDescent="0.25">
      <c r="B25" s="9">
        <v>22</v>
      </c>
      <c r="C25" s="10">
        <f>'[14]Estimasi NPHR'!C25</f>
        <v>4136.2043478260866</v>
      </c>
      <c r="D25" s="11">
        <f>'[14]Estimasi NPHR'!D25</f>
        <v>0</v>
      </c>
      <c r="E25" s="12">
        <f>'[14]Coal Blend'!BV343</f>
        <v>0.25</v>
      </c>
      <c r="F25" s="12">
        <f t="shared" si="0"/>
        <v>0.75</v>
      </c>
      <c r="G25" s="13">
        <f t="shared" si="1"/>
        <v>0</v>
      </c>
      <c r="H25" s="13">
        <f t="shared" si="2"/>
        <v>0</v>
      </c>
      <c r="I25" s="13">
        <f t="shared" si="3"/>
        <v>0</v>
      </c>
    </row>
    <row r="26" spans="2:9" x14ac:dyDescent="0.25">
      <c r="B26" s="9">
        <v>23</v>
      </c>
      <c r="C26" s="10">
        <f>'[14]Estimasi NPHR'!C26</f>
        <v>4068.2933251433255</v>
      </c>
      <c r="D26" s="11">
        <f>'[14]Estimasi NPHR'!D26</f>
        <v>0</v>
      </c>
      <c r="E26" s="12">
        <f>'[14]Coal Blend'!BV359</f>
        <v>0</v>
      </c>
      <c r="F26" s="12">
        <f t="shared" si="0"/>
        <v>1</v>
      </c>
      <c r="G26" s="13">
        <f t="shared" si="1"/>
        <v>0</v>
      </c>
      <c r="H26" s="13">
        <f t="shared" si="2"/>
        <v>0</v>
      </c>
      <c r="I26" s="13">
        <f t="shared" si="3"/>
        <v>0</v>
      </c>
    </row>
    <row r="27" spans="2:9" x14ac:dyDescent="0.25">
      <c r="B27" s="9">
        <v>24</v>
      </c>
      <c r="C27" s="10">
        <f>'[14]Estimasi NPHR'!C27</f>
        <v>4135.0751489014683</v>
      </c>
      <c r="D27" s="11">
        <f>'[14]Estimasi NPHR'!D27</f>
        <v>0</v>
      </c>
      <c r="E27" s="12">
        <f>'[14]Coal Blend'!BV375</f>
        <v>0.23333333333333331</v>
      </c>
      <c r="F27" s="12">
        <f t="shared" si="0"/>
        <v>0.76666666666666672</v>
      </c>
      <c r="G27" s="13">
        <f t="shared" si="1"/>
        <v>0</v>
      </c>
      <c r="H27" s="13">
        <f t="shared" si="2"/>
        <v>0</v>
      </c>
      <c r="I27" s="13">
        <f t="shared" si="3"/>
        <v>0</v>
      </c>
    </row>
    <row r="28" spans="2:9" x14ac:dyDescent="0.25">
      <c r="B28" s="9">
        <v>25</v>
      </c>
      <c r="C28" s="10">
        <f>'[14]Estimasi NPHR'!C28</f>
        <v>4039.6131780487799</v>
      </c>
      <c r="D28" s="11">
        <f>'[14]Estimasi NPHR'!D28</f>
        <v>0</v>
      </c>
      <c r="E28" s="12">
        <f>'[14]Coal Blend'!BV391</f>
        <v>4.9999999999999996E-2</v>
      </c>
      <c r="F28" s="12">
        <f t="shared" si="0"/>
        <v>0.95</v>
      </c>
      <c r="G28" s="13">
        <f t="shared" si="1"/>
        <v>0</v>
      </c>
      <c r="H28" s="13">
        <f t="shared" si="2"/>
        <v>0</v>
      </c>
      <c r="I28" s="13">
        <f t="shared" si="3"/>
        <v>0</v>
      </c>
    </row>
    <row r="29" spans="2:9" x14ac:dyDescent="0.25">
      <c r="B29" s="9">
        <v>26</v>
      </c>
      <c r="C29" s="10">
        <f>'[14]Estimasi NPHR'!C29</f>
        <v>4057.5940244444446</v>
      </c>
      <c r="D29" s="11">
        <f>'[14]Estimasi NPHR'!D29</f>
        <v>0</v>
      </c>
      <c r="E29" s="12">
        <f>'[14]Coal Blend'!BV407</f>
        <v>9.9999999999999992E-2</v>
      </c>
      <c r="F29" s="12">
        <f t="shared" si="0"/>
        <v>0.9</v>
      </c>
      <c r="G29" s="13">
        <f t="shared" si="1"/>
        <v>0</v>
      </c>
      <c r="H29" s="13">
        <f t="shared" si="2"/>
        <v>0</v>
      </c>
      <c r="I29" s="13">
        <f t="shared" si="3"/>
        <v>0</v>
      </c>
    </row>
    <row r="30" spans="2:9" x14ac:dyDescent="0.25">
      <c r="B30" s="9">
        <v>27</v>
      </c>
      <c r="C30" s="10">
        <f>'[14]Estimasi NPHR'!C30</f>
        <v>4148.6561516592856</v>
      </c>
      <c r="D30" s="11">
        <f>'[14]Estimasi NPHR'!D30</f>
        <v>0</v>
      </c>
      <c r="E30" s="12">
        <f>'[14]Coal Blend'!BV423</f>
        <v>0.3666666666666667</v>
      </c>
      <c r="F30" s="12">
        <f t="shared" si="0"/>
        <v>0.6333333333333333</v>
      </c>
      <c r="G30" s="13">
        <f t="shared" si="1"/>
        <v>0</v>
      </c>
      <c r="H30" s="13">
        <f t="shared" si="2"/>
        <v>0</v>
      </c>
      <c r="I30" s="13">
        <f t="shared" si="3"/>
        <v>0</v>
      </c>
    </row>
    <row r="31" spans="2:9" x14ac:dyDescent="0.25">
      <c r="B31" s="9">
        <v>28</v>
      </c>
      <c r="C31" s="10">
        <f>'[14]Estimasi NPHR'!C31</f>
        <v>4085.591257043608</v>
      </c>
      <c r="D31" s="11">
        <f>'[14]Estimasi NPHR'!D31</f>
        <v>0</v>
      </c>
      <c r="E31" s="12">
        <f>'[14]Coal Blend'!BV439</f>
        <v>0.19999999999999998</v>
      </c>
      <c r="F31" s="12">
        <f t="shared" si="0"/>
        <v>0.8</v>
      </c>
      <c r="G31" s="13">
        <f t="shared" si="1"/>
        <v>0</v>
      </c>
      <c r="H31" s="13">
        <f t="shared" si="2"/>
        <v>0</v>
      </c>
      <c r="I31" s="13">
        <f t="shared" si="3"/>
        <v>0</v>
      </c>
    </row>
    <row r="32" spans="2:9" x14ac:dyDescent="0.25">
      <c r="B32" s="9">
        <v>29</v>
      </c>
      <c r="C32" s="10">
        <f>'[14]Estimasi NPHR'!C32</f>
        <v>4260.0991225128555</v>
      </c>
      <c r="D32" s="11">
        <f>'[14]Estimasi NPHR'!D32</f>
        <v>0</v>
      </c>
      <c r="E32" s="12">
        <f>'[14]Coal Blend'!BV455</f>
        <v>0.5</v>
      </c>
      <c r="F32" s="12">
        <f t="shared" si="0"/>
        <v>0.5</v>
      </c>
      <c r="G32" s="13">
        <f t="shared" si="1"/>
        <v>0</v>
      </c>
      <c r="H32" s="13">
        <f t="shared" si="2"/>
        <v>0</v>
      </c>
      <c r="I32" s="13">
        <f t="shared" si="3"/>
        <v>0</v>
      </c>
    </row>
    <row r="33" spans="2:9" ht="15.75" thickBot="1" x14ac:dyDescent="0.3">
      <c r="B33" s="9">
        <v>30</v>
      </c>
      <c r="C33" s="10">
        <f>'[14]Estimasi NPHR'!C33</f>
        <v>4251.9365261813537</v>
      </c>
      <c r="D33" s="11">
        <f>'[14]Estimasi NPHR'!D33</f>
        <v>0</v>
      </c>
      <c r="E33" s="12">
        <f>'[14]Coal Blend'!BV471</f>
        <v>0.3666666666666667</v>
      </c>
      <c r="F33" s="12">
        <f t="shared" si="0"/>
        <v>0.6333333333333333</v>
      </c>
      <c r="G33" s="13">
        <f t="shared" si="1"/>
        <v>0</v>
      </c>
      <c r="H33" s="13">
        <f t="shared" si="2"/>
        <v>0</v>
      </c>
      <c r="I33" s="13">
        <f t="shared" si="3"/>
        <v>0</v>
      </c>
    </row>
    <row r="34" spans="2:9" ht="15.75" thickBot="1" x14ac:dyDescent="0.3">
      <c r="B34" s="14"/>
      <c r="C34" s="15">
        <f>IF(D34=0,0,I34/D34)</f>
        <v>0</v>
      </c>
      <c r="D34" s="16">
        <f>SUM(D4:D33)</f>
        <v>0</v>
      </c>
      <c r="E34" s="16"/>
      <c r="F34" s="16"/>
      <c r="G34" s="16">
        <f>SUM(G4:G33)</f>
        <v>0</v>
      </c>
      <c r="H34" s="16">
        <f>SUM(H4:H33)</f>
        <v>0</v>
      </c>
      <c r="I34" s="17">
        <f>SUM(I4:I33)</f>
        <v>0</v>
      </c>
    </row>
    <row r="35" spans="2:9" x14ac:dyDescent="0.25">
      <c r="D35" s="18">
        <f>MAX(D4:D33)</f>
        <v>0</v>
      </c>
    </row>
  </sheetData>
  <mergeCells count="2">
    <mergeCell ref="B2:B3"/>
    <mergeCell ref="C2:I2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78F32-453E-4446-82FC-02434DE2DDF6}">
  <dimension ref="B1:I35"/>
  <sheetViews>
    <sheetView workbookViewId="0">
      <selection activeCell="P36" sqref="P36"/>
    </sheetView>
  </sheetViews>
  <sheetFormatPr defaultRowHeight="15" x14ac:dyDescent="0.25"/>
  <cols>
    <col min="2" max="2" width="8.5703125" bestFit="1" customWidth="1"/>
    <col min="3" max="3" width="9.5703125" bestFit="1" customWidth="1"/>
    <col min="4" max="4" width="11.5703125" bestFit="1" customWidth="1"/>
    <col min="5" max="6" width="5.5703125" bestFit="1" customWidth="1"/>
    <col min="7" max="8" width="10.5703125" bestFit="1" customWidth="1"/>
    <col min="9" max="9" width="12.5703125" bestFit="1" customWidth="1"/>
  </cols>
  <sheetData>
    <row r="1" spans="2:9" ht="15.75" thickBot="1" x14ac:dyDescent="0.3"/>
    <row r="2" spans="2:9" ht="16.5" thickBot="1" x14ac:dyDescent="0.3">
      <c r="B2" s="1" t="s">
        <v>6</v>
      </c>
      <c r="C2" s="2" t="s">
        <v>5</v>
      </c>
      <c r="D2" s="3"/>
      <c r="E2" s="3"/>
      <c r="F2" s="3"/>
      <c r="G2" s="3"/>
      <c r="H2" s="3"/>
      <c r="I2" s="4"/>
    </row>
    <row r="3" spans="2:9" ht="16.5" thickBot="1" x14ac:dyDescent="0.3">
      <c r="B3" s="5"/>
      <c r="C3" s="6" t="s">
        <v>4</v>
      </c>
      <c r="D3" s="7" t="s">
        <v>0</v>
      </c>
      <c r="E3" s="8" t="s">
        <v>1</v>
      </c>
      <c r="F3" s="8" t="s">
        <v>2</v>
      </c>
      <c r="G3" s="8" t="s">
        <v>1</v>
      </c>
      <c r="H3" s="8" t="s">
        <v>2</v>
      </c>
      <c r="I3" s="8" t="s">
        <v>3</v>
      </c>
    </row>
    <row r="4" spans="2:9" x14ac:dyDescent="0.25">
      <c r="B4" s="9">
        <v>1</v>
      </c>
      <c r="C4" s="10">
        <f>'[15]Estimasi NPHR'!C4</f>
        <v>4223.8235220883544</v>
      </c>
      <c r="D4" s="11">
        <f>'[15]Estimasi NPHR'!D4</f>
        <v>0</v>
      </c>
      <c r="E4" s="12">
        <f>'[15]Coal Blend'!BV7</f>
        <v>0.3666666666666667</v>
      </c>
      <c r="F4" s="12">
        <f>1-E4</f>
        <v>0.6333333333333333</v>
      </c>
      <c r="G4" s="13">
        <f>_xlfn.IFNA(E4*D4,0)</f>
        <v>0</v>
      </c>
      <c r="H4" s="13">
        <f>_xlfn.IFNA(F4*D4,0)</f>
        <v>0</v>
      </c>
      <c r="I4" s="13">
        <f>C4*D4</f>
        <v>0</v>
      </c>
    </row>
    <row r="5" spans="2:9" x14ac:dyDescent="0.25">
      <c r="B5" s="9">
        <v>2</v>
      </c>
      <c r="C5" s="10">
        <f>'[15]Estimasi NPHR'!C5</f>
        <v>4106.4436030176321</v>
      </c>
      <c r="D5" s="11">
        <f>'[15]Estimasi NPHR'!D5</f>
        <v>0</v>
      </c>
      <c r="E5" s="12">
        <f>'[15]Coal Blend'!BV23</f>
        <v>0.16666666666666666</v>
      </c>
      <c r="F5" s="12">
        <f t="shared" ref="F5:F33" si="0">1-E5</f>
        <v>0.83333333333333337</v>
      </c>
      <c r="G5" s="13">
        <f t="shared" ref="G5:G33" si="1">_xlfn.IFNA(E5*D5,0)</f>
        <v>0</v>
      </c>
      <c r="H5" s="13">
        <f t="shared" ref="H5:H33" si="2">_xlfn.IFNA(F5*D5,0)</f>
        <v>0</v>
      </c>
      <c r="I5" s="13">
        <f t="shared" ref="I5:I33" si="3">C5*D5</f>
        <v>0</v>
      </c>
    </row>
    <row r="6" spans="2:9" x14ac:dyDescent="0.25">
      <c r="B6" s="9">
        <v>3</v>
      </c>
      <c r="C6" s="10">
        <f>'[15]Estimasi NPHR'!C6</f>
        <v>4110.1664104569672</v>
      </c>
      <c r="D6" s="11">
        <f>'[15]Estimasi NPHR'!D6</f>
        <v>0</v>
      </c>
      <c r="E6" s="12">
        <f>'[15]Coal Blend'!BV39</f>
        <v>0.31666666666666665</v>
      </c>
      <c r="F6" s="12">
        <f t="shared" si="0"/>
        <v>0.68333333333333335</v>
      </c>
      <c r="G6" s="13">
        <f t="shared" si="1"/>
        <v>0</v>
      </c>
      <c r="H6" s="13">
        <f t="shared" si="2"/>
        <v>0</v>
      </c>
      <c r="I6" s="13">
        <f t="shared" si="3"/>
        <v>0</v>
      </c>
    </row>
    <row r="7" spans="2:9" x14ac:dyDescent="0.25">
      <c r="B7" s="9">
        <v>4</v>
      </c>
      <c r="C7" s="10">
        <f>'[15]Estimasi NPHR'!C7</f>
        <v>4127.6004516476887</v>
      </c>
      <c r="D7" s="11">
        <f>'[15]Estimasi NPHR'!D7</f>
        <v>0</v>
      </c>
      <c r="E7" s="12">
        <f>'[15]Coal Blend'!BV55</f>
        <v>0.3</v>
      </c>
      <c r="F7" s="12">
        <f t="shared" si="0"/>
        <v>0.7</v>
      </c>
      <c r="G7" s="13">
        <f t="shared" si="1"/>
        <v>0</v>
      </c>
      <c r="H7" s="13">
        <f t="shared" si="2"/>
        <v>0</v>
      </c>
      <c r="I7" s="13">
        <f t="shared" si="3"/>
        <v>0</v>
      </c>
    </row>
    <row r="8" spans="2:9" x14ac:dyDescent="0.25">
      <c r="B8" s="9">
        <v>5</v>
      </c>
      <c r="C8" s="10">
        <f>'[15]Estimasi NPHR'!C8</f>
        <v>4097.2521049948673</v>
      </c>
      <c r="D8" s="11">
        <f>'[15]Estimasi NPHR'!D8</f>
        <v>0</v>
      </c>
      <c r="E8" s="12">
        <f>'[15]Coal Blend'!BV71</f>
        <v>0.3</v>
      </c>
      <c r="F8" s="12">
        <f t="shared" si="0"/>
        <v>0.7</v>
      </c>
      <c r="G8" s="13">
        <f t="shared" si="1"/>
        <v>0</v>
      </c>
      <c r="H8" s="13">
        <f t="shared" si="2"/>
        <v>0</v>
      </c>
      <c r="I8" s="13">
        <f t="shared" si="3"/>
        <v>0</v>
      </c>
    </row>
    <row r="9" spans="2:9" x14ac:dyDescent="0.25">
      <c r="B9" s="9">
        <v>6</v>
      </c>
      <c r="C9" s="10">
        <f>'[15]Estimasi NPHR'!C9</f>
        <v>4191.2695175438594</v>
      </c>
      <c r="D9" s="11">
        <f>'[15]Estimasi NPHR'!D9</f>
        <v>0</v>
      </c>
      <c r="E9" s="12">
        <f>'[15]Coal Blend'!BV87</f>
        <v>0.40833333333333338</v>
      </c>
      <c r="F9" s="12">
        <f t="shared" si="0"/>
        <v>0.59166666666666656</v>
      </c>
      <c r="G9" s="13">
        <f t="shared" si="1"/>
        <v>0</v>
      </c>
      <c r="H9" s="13">
        <f t="shared" si="2"/>
        <v>0</v>
      </c>
      <c r="I9" s="13">
        <f t="shared" si="3"/>
        <v>0</v>
      </c>
    </row>
    <row r="10" spans="2:9" x14ac:dyDescent="0.25">
      <c r="B10" s="9">
        <v>7</v>
      </c>
      <c r="C10" s="10">
        <f>'[15]Estimasi NPHR'!C10</f>
        <v>4140.3756666666668</v>
      </c>
      <c r="D10" s="11">
        <f>'[15]Estimasi NPHR'!D10</f>
        <v>0</v>
      </c>
      <c r="E10" s="12">
        <f>'[15]Coal Blend'!BV103</f>
        <v>0.31666666666666665</v>
      </c>
      <c r="F10" s="12">
        <f t="shared" si="0"/>
        <v>0.68333333333333335</v>
      </c>
      <c r="G10" s="13">
        <f t="shared" si="1"/>
        <v>0</v>
      </c>
      <c r="H10" s="13">
        <f t="shared" si="2"/>
        <v>0</v>
      </c>
      <c r="I10" s="13">
        <f t="shared" si="3"/>
        <v>0</v>
      </c>
    </row>
    <row r="11" spans="2:9" x14ac:dyDescent="0.25">
      <c r="B11" s="9">
        <v>8</v>
      </c>
      <c r="C11" s="10">
        <f>'[15]Estimasi NPHR'!C11</f>
        <v>4161.1376721884053</v>
      </c>
      <c r="D11" s="11">
        <f>'[15]Estimasi NPHR'!D11</f>
        <v>0</v>
      </c>
      <c r="E11" s="12">
        <f>'[15]Coal Blend'!BV119</f>
        <v>0.33333333333333331</v>
      </c>
      <c r="F11" s="12">
        <f t="shared" si="0"/>
        <v>0.66666666666666674</v>
      </c>
      <c r="G11" s="13">
        <f t="shared" si="1"/>
        <v>0</v>
      </c>
      <c r="H11" s="13">
        <f t="shared" si="2"/>
        <v>0</v>
      </c>
      <c r="I11" s="13">
        <f t="shared" si="3"/>
        <v>0</v>
      </c>
    </row>
    <row r="12" spans="2:9" x14ac:dyDescent="0.25">
      <c r="B12" s="9">
        <v>9</v>
      </c>
      <c r="C12" s="10">
        <f>'[15]Estimasi NPHR'!C12</f>
        <v>4177.076540719002</v>
      </c>
      <c r="D12" s="11">
        <f>'[15]Estimasi NPHR'!D12</f>
        <v>0</v>
      </c>
      <c r="E12" s="12">
        <f>'[15]Coal Blend'!BV135</f>
        <v>0.3</v>
      </c>
      <c r="F12" s="12">
        <f t="shared" si="0"/>
        <v>0.7</v>
      </c>
      <c r="G12" s="13">
        <f t="shared" si="1"/>
        <v>0</v>
      </c>
      <c r="H12" s="13">
        <f t="shared" si="2"/>
        <v>0</v>
      </c>
      <c r="I12" s="13">
        <f t="shared" si="3"/>
        <v>0</v>
      </c>
    </row>
    <row r="13" spans="2:9" x14ac:dyDescent="0.25">
      <c r="B13" s="9">
        <v>10</v>
      </c>
      <c r="C13" s="10">
        <f>'[15]Estimasi NPHR'!C13</f>
        <v>4291.6948435934773</v>
      </c>
      <c r="D13" s="11">
        <f>'[15]Estimasi NPHR'!D13</f>
        <v>0</v>
      </c>
      <c r="E13" s="12">
        <f>'[15]Coal Blend'!BV151</f>
        <v>0.39999999999999997</v>
      </c>
      <c r="F13" s="12">
        <f t="shared" si="0"/>
        <v>0.60000000000000009</v>
      </c>
      <c r="G13" s="13">
        <f t="shared" si="1"/>
        <v>0</v>
      </c>
      <c r="H13" s="13">
        <f t="shared" si="2"/>
        <v>0</v>
      </c>
      <c r="I13" s="13">
        <f t="shared" si="3"/>
        <v>0</v>
      </c>
    </row>
    <row r="14" spans="2:9" x14ac:dyDescent="0.25">
      <c r="B14" s="9">
        <v>11</v>
      </c>
      <c r="C14" s="10">
        <f>'[15]Estimasi NPHR'!C14</f>
        <v>4183.3309748427673</v>
      </c>
      <c r="D14" s="11">
        <f>'[15]Estimasi NPHR'!D14</f>
        <v>0</v>
      </c>
      <c r="E14" s="12">
        <f>'[15]Coal Blend'!BV167</f>
        <v>0.45</v>
      </c>
      <c r="F14" s="12">
        <f t="shared" si="0"/>
        <v>0.55000000000000004</v>
      </c>
      <c r="G14" s="13">
        <f t="shared" si="1"/>
        <v>0</v>
      </c>
      <c r="H14" s="13">
        <f t="shared" si="2"/>
        <v>0</v>
      </c>
      <c r="I14" s="13">
        <f t="shared" si="3"/>
        <v>0</v>
      </c>
    </row>
    <row r="15" spans="2:9" x14ac:dyDescent="0.25">
      <c r="B15" s="9">
        <v>12</v>
      </c>
      <c r="C15" s="10">
        <f>'[15]Estimasi NPHR'!C15</f>
        <v>4277.8773545483773</v>
      </c>
      <c r="D15" s="11">
        <f>'[15]Estimasi NPHR'!D15</f>
        <v>0</v>
      </c>
      <c r="E15" s="12">
        <f>'[15]Coal Blend'!BV183</f>
        <v>0.5</v>
      </c>
      <c r="F15" s="12">
        <f t="shared" si="0"/>
        <v>0.5</v>
      </c>
      <c r="G15" s="13">
        <f t="shared" si="1"/>
        <v>0</v>
      </c>
      <c r="H15" s="13">
        <f t="shared" si="2"/>
        <v>0</v>
      </c>
      <c r="I15" s="13">
        <f t="shared" si="3"/>
        <v>0</v>
      </c>
    </row>
    <row r="16" spans="2:9" x14ac:dyDescent="0.25">
      <c r="B16" s="9">
        <v>13</v>
      </c>
      <c r="C16" s="10">
        <f>'[15]Estimasi NPHR'!C16</f>
        <v>4255.1726581464945</v>
      </c>
      <c r="D16" s="11">
        <f>'[15]Estimasi NPHR'!D16</f>
        <v>0</v>
      </c>
      <c r="E16" s="12">
        <f>'[15]Coal Blend'!BV199</f>
        <v>0.30833333333333329</v>
      </c>
      <c r="F16" s="12">
        <f t="shared" si="0"/>
        <v>0.69166666666666665</v>
      </c>
      <c r="G16" s="13">
        <f t="shared" si="1"/>
        <v>0</v>
      </c>
      <c r="H16" s="13">
        <f t="shared" si="2"/>
        <v>0</v>
      </c>
      <c r="I16" s="13">
        <f t="shared" si="3"/>
        <v>0</v>
      </c>
    </row>
    <row r="17" spans="2:9" x14ac:dyDescent="0.25">
      <c r="B17" s="9">
        <v>14</v>
      </c>
      <c r="C17" s="10">
        <f>'[15]Estimasi NPHR'!C17</f>
        <v>4326.0433452999523</v>
      </c>
      <c r="D17" s="11">
        <f>'[15]Estimasi NPHR'!D17</f>
        <v>0</v>
      </c>
      <c r="E17" s="12">
        <f>'[15]Coal Blend'!BV215</f>
        <v>0.42499999999999999</v>
      </c>
      <c r="F17" s="12">
        <f t="shared" si="0"/>
        <v>0.57499999999999996</v>
      </c>
      <c r="G17" s="13">
        <f t="shared" si="1"/>
        <v>0</v>
      </c>
      <c r="H17" s="13">
        <f t="shared" si="2"/>
        <v>0</v>
      </c>
      <c r="I17" s="13">
        <f t="shared" si="3"/>
        <v>0</v>
      </c>
    </row>
    <row r="18" spans="2:9" x14ac:dyDescent="0.25">
      <c r="B18" s="9">
        <v>15</v>
      </c>
      <c r="C18" s="10">
        <f>'[15]Estimasi NPHR'!C18</f>
        <v>4168.5168083333328</v>
      </c>
      <c r="D18" s="11">
        <f>'[15]Estimasi NPHR'!D18</f>
        <v>0</v>
      </c>
      <c r="E18" s="12">
        <f>'[15]Coal Blend'!BV231</f>
        <v>0.46666666666666662</v>
      </c>
      <c r="F18" s="12">
        <f t="shared" si="0"/>
        <v>0.53333333333333344</v>
      </c>
      <c r="G18" s="13">
        <f t="shared" si="1"/>
        <v>0</v>
      </c>
      <c r="H18" s="13">
        <f t="shared" si="2"/>
        <v>0</v>
      </c>
      <c r="I18" s="13">
        <f t="shared" si="3"/>
        <v>0</v>
      </c>
    </row>
    <row r="19" spans="2:9" x14ac:dyDescent="0.25">
      <c r="B19" s="9">
        <v>16</v>
      </c>
      <c r="C19" s="10">
        <f>'[15]Estimasi NPHR'!C19</f>
        <v>4293.9022637752323</v>
      </c>
      <c r="D19" s="11">
        <f>'[15]Estimasi NPHR'!D19</f>
        <v>0</v>
      </c>
      <c r="E19" s="12">
        <f>'[15]Coal Blend'!BV247</f>
        <v>0.54999999999999993</v>
      </c>
      <c r="F19" s="12">
        <f t="shared" si="0"/>
        <v>0.45000000000000007</v>
      </c>
      <c r="G19" s="13">
        <f t="shared" si="1"/>
        <v>0</v>
      </c>
      <c r="H19" s="13">
        <f t="shared" si="2"/>
        <v>0</v>
      </c>
      <c r="I19" s="13">
        <f t="shared" si="3"/>
        <v>0</v>
      </c>
    </row>
    <row r="20" spans="2:9" x14ac:dyDescent="0.25">
      <c r="B20" s="9">
        <v>17</v>
      </c>
      <c r="C20" s="10">
        <f>'[15]Estimasi NPHR'!C20</f>
        <v>4173.4542124542131</v>
      </c>
      <c r="D20" s="11">
        <f>'[15]Estimasi NPHR'!D20</f>
        <v>0</v>
      </c>
      <c r="E20" s="12">
        <f>'[15]Coal Blend'!BV263</f>
        <v>0.33333333333333331</v>
      </c>
      <c r="F20" s="12">
        <f t="shared" si="0"/>
        <v>0.66666666666666674</v>
      </c>
      <c r="G20" s="13">
        <f t="shared" si="1"/>
        <v>0</v>
      </c>
      <c r="H20" s="13">
        <f t="shared" si="2"/>
        <v>0</v>
      </c>
      <c r="I20" s="13">
        <f t="shared" si="3"/>
        <v>0</v>
      </c>
    </row>
    <row r="21" spans="2:9" x14ac:dyDescent="0.25">
      <c r="B21" s="9">
        <v>18</v>
      </c>
      <c r="C21" s="10">
        <f>'[15]Estimasi NPHR'!C21</f>
        <v>4113.159333333334</v>
      </c>
      <c r="D21" s="11">
        <f>'[15]Estimasi NPHR'!D21</f>
        <v>0</v>
      </c>
      <c r="E21" s="12">
        <f>'[15]Coal Blend'!BV279</f>
        <v>0.21666666666666667</v>
      </c>
      <c r="F21" s="12">
        <f t="shared" si="0"/>
        <v>0.78333333333333333</v>
      </c>
      <c r="G21" s="13">
        <f t="shared" si="1"/>
        <v>0</v>
      </c>
      <c r="H21" s="13">
        <f t="shared" si="2"/>
        <v>0</v>
      </c>
      <c r="I21" s="13">
        <f t="shared" si="3"/>
        <v>0</v>
      </c>
    </row>
    <row r="22" spans="2:9" x14ac:dyDescent="0.25">
      <c r="B22" s="9">
        <v>19</v>
      </c>
      <c r="C22" s="10">
        <f>'[15]Estimasi NPHR'!C22</f>
        <v>4168.7607843137257</v>
      </c>
      <c r="D22" s="11">
        <f>'[15]Estimasi NPHR'!D22</f>
        <v>0</v>
      </c>
      <c r="E22" s="12">
        <f>'[15]Coal Blend'!BV295</f>
        <v>0.16666666666666666</v>
      </c>
      <c r="F22" s="12">
        <f t="shared" si="0"/>
        <v>0.83333333333333337</v>
      </c>
      <c r="G22" s="13">
        <f t="shared" si="1"/>
        <v>0</v>
      </c>
      <c r="H22" s="13">
        <f t="shared" si="2"/>
        <v>0</v>
      </c>
      <c r="I22" s="13">
        <f t="shared" si="3"/>
        <v>0</v>
      </c>
    </row>
    <row r="23" spans="2:9" x14ac:dyDescent="0.25">
      <c r="B23" s="9">
        <v>20</v>
      </c>
      <c r="C23" s="10">
        <f>'[15]Estimasi NPHR'!C23</f>
        <v>4183.4738604651166</v>
      </c>
      <c r="D23" s="11">
        <f>'[15]Estimasi NPHR'!D23</f>
        <v>0</v>
      </c>
      <c r="E23" s="12">
        <f>'[15]Coal Blend'!BV311</f>
        <v>0.46666666666666662</v>
      </c>
      <c r="F23" s="12">
        <f t="shared" si="0"/>
        <v>0.53333333333333344</v>
      </c>
      <c r="G23" s="13">
        <f t="shared" si="1"/>
        <v>0</v>
      </c>
      <c r="H23" s="13">
        <f t="shared" si="2"/>
        <v>0</v>
      </c>
      <c r="I23" s="13">
        <f t="shared" si="3"/>
        <v>0</v>
      </c>
    </row>
    <row r="24" spans="2:9" x14ac:dyDescent="0.25">
      <c r="B24" s="9">
        <v>21</v>
      </c>
      <c r="C24" s="10">
        <f>'[15]Estimasi NPHR'!C24</f>
        <v>4334.2489711934149</v>
      </c>
      <c r="D24" s="11">
        <f>'[15]Estimasi NPHR'!D24</f>
        <v>0</v>
      </c>
      <c r="E24" s="12">
        <f>'[15]Coal Blend'!BV327</f>
        <v>0.51666666666666672</v>
      </c>
      <c r="F24" s="12">
        <f t="shared" si="0"/>
        <v>0.48333333333333328</v>
      </c>
      <c r="G24" s="13">
        <f t="shared" si="1"/>
        <v>0</v>
      </c>
      <c r="H24" s="13">
        <f t="shared" si="2"/>
        <v>0</v>
      </c>
      <c r="I24" s="13">
        <f t="shared" si="3"/>
        <v>0</v>
      </c>
    </row>
    <row r="25" spans="2:9" x14ac:dyDescent="0.25">
      <c r="B25" s="9">
        <v>22</v>
      </c>
      <c r="C25" s="10">
        <f>'[15]Estimasi NPHR'!C25</f>
        <v>4369.4101892543849</v>
      </c>
      <c r="D25" s="11">
        <f>'[15]Estimasi NPHR'!D25</f>
        <v>0</v>
      </c>
      <c r="E25" s="12">
        <f>'[15]Coal Blend'!BV343</f>
        <v>0.40000000000000008</v>
      </c>
      <c r="F25" s="12">
        <f t="shared" si="0"/>
        <v>0.59999999999999987</v>
      </c>
      <c r="G25" s="13">
        <f t="shared" si="1"/>
        <v>0</v>
      </c>
      <c r="H25" s="13">
        <f t="shared" si="2"/>
        <v>0</v>
      </c>
      <c r="I25" s="13">
        <f t="shared" si="3"/>
        <v>0</v>
      </c>
    </row>
    <row r="26" spans="2:9" x14ac:dyDescent="0.25">
      <c r="B26" s="9">
        <v>23</v>
      </c>
      <c r="C26" s="10">
        <f>'[15]Estimasi NPHR'!C26</f>
        <v>4328.9056800940443</v>
      </c>
      <c r="D26" s="11">
        <f>'[15]Estimasi NPHR'!D26</f>
        <v>0</v>
      </c>
      <c r="E26" s="12">
        <f>'[15]Coal Blend'!BV359</f>
        <v>0.2583333333333333</v>
      </c>
      <c r="F26" s="12">
        <f t="shared" si="0"/>
        <v>0.7416666666666667</v>
      </c>
      <c r="G26" s="13">
        <f t="shared" si="1"/>
        <v>0</v>
      </c>
      <c r="H26" s="13">
        <f t="shared" si="2"/>
        <v>0</v>
      </c>
      <c r="I26" s="13">
        <f t="shared" si="3"/>
        <v>0</v>
      </c>
    </row>
    <row r="27" spans="2:9" x14ac:dyDescent="0.25">
      <c r="B27" s="9">
        <v>24</v>
      </c>
      <c r="C27" s="10">
        <f>'[15]Estimasi NPHR'!C27</f>
        <v>4351.2411660936968</v>
      </c>
      <c r="D27" s="11">
        <f>'[15]Estimasi NPHR'!D27</f>
        <v>0</v>
      </c>
      <c r="E27" s="12">
        <f>'[15]Coal Blend'!BV375</f>
        <v>0.33333333333333331</v>
      </c>
      <c r="F27" s="12">
        <f t="shared" si="0"/>
        <v>0.66666666666666674</v>
      </c>
      <c r="G27" s="13">
        <f t="shared" si="1"/>
        <v>0</v>
      </c>
      <c r="H27" s="13">
        <f t="shared" si="2"/>
        <v>0</v>
      </c>
      <c r="I27" s="13">
        <f t="shared" si="3"/>
        <v>0</v>
      </c>
    </row>
    <row r="28" spans="2:9" x14ac:dyDescent="0.25">
      <c r="B28" s="9">
        <v>25</v>
      </c>
      <c r="C28" s="10">
        <f>'[15]Estimasi NPHR'!C28</f>
        <v>4264.4662210338674</v>
      </c>
      <c r="D28" s="11">
        <f>'[15]Estimasi NPHR'!D28</f>
        <v>0</v>
      </c>
      <c r="E28" s="12">
        <f>'[15]Coal Blend'!BV391</f>
        <v>0.44999999999999996</v>
      </c>
      <c r="F28" s="12">
        <f t="shared" si="0"/>
        <v>0.55000000000000004</v>
      </c>
      <c r="G28" s="13">
        <f t="shared" si="1"/>
        <v>0</v>
      </c>
      <c r="H28" s="13">
        <f t="shared" si="2"/>
        <v>0</v>
      </c>
      <c r="I28" s="13">
        <f t="shared" si="3"/>
        <v>0</v>
      </c>
    </row>
    <row r="29" spans="2:9" x14ac:dyDescent="0.25">
      <c r="B29" s="9">
        <v>26</v>
      </c>
      <c r="C29" s="10">
        <f>'[15]Estimasi NPHR'!C29</f>
        <v>4247.905889608387</v>
      </c>
      <c r="D29" s="11">
        <f>'[15]Estimasi NPHR'!D29</f>
        <v>0</v>
      </c>
      <c r="E29" s="12">
        <f>'[15]Coal Blend'!BV407</f>
        <v>0.51666666666666672</v>
      </c>
      <c r="F29" s="12">
        <f t="shared" si="0"/>
        <v>0.48333333333333328</v>
      </c>
      <c r="G29" s="13">
        <f t="shared" si="1"/>
        <v>0</v>
      </c>
      <c r="H29" s="13">
        <f t="shared" si="2"/>
        <v>0</v>
      </c>
      <c r="I29" s="13">
        <f t="shared" si="3"/>
        <v>0</v>
      </c>
    </row>
    <row r="30" spans="2:9" x14ac:dyDescent="0.25">
      <c r="B30" s="9">
        <v>27</v>
      </c>
      <c r="C30" s="10">
        <f>'[15]Estimasi NPHR'!C30</f>
        <v>4267.3946065428827</v>
      </c>
      <c r="D30" s="11">
        <f>'[15]Estimasi NPHR'!D30</f>
        <v>0</v>
      </c>
      <c r="E30" s="12">
        <f>'[15]Coal Blend'!BV423</f>
        <v>0.41666666666666669</v>
      </c>
      <c r="F30" s="12">
        <f t="shared" si="0"/>
        <v>0.58333333333333326</v>
      </c>
      <c r="G30" s="13">
        <f t="shared" si="1"/>
        <v>0</v>
      </c>
      <c r="H30" s="13">
        <f t="shared" si="2"/>
        <v>0</v>
      </c>
      <c r="I30" s="13">
        <f t="shared" si="3"/>
        <v>0</v>
      </c>
    </row>
    <row r="31" spans="2:9" x14ac:dyDescent="0.25">
      <c r="B31" s="9">
        <v>28</v>
      </c>
      <c r="C31" s="10">
        <f>'[15]Estimasi NPHR'!C31</f>
        <v>4190.6075268817203</v>
      </c>
      <c r="D31" s="11">
        <f>'[15]Estimasi NPHR'!D31</f>
        <v>0</v>
      </c>
      <c r="E31" s="12">
        <f>'[15]Coal Blend'!BV439</f>
        <v>0.25833333333333336</v>
      </c>
      <c r="F31" s="12">
        <f t="shared" si="0"/>
        <v>0.7416666666666667</v>
      </c>
      <c r="G31" s="13">
        <f t="shared" si="1"/>
        <v>0</v>
      </c>
      <c r="H31" s="13">
        <f t="shared" si="2"/>
        <v>0</v>
      </c>
      <c r="I31" s="13">
        <f t="shared" si="3"/>
        <v>0</v>
      </c>
    </row>
    <row r="32" spans="2:9" x14ac:dyDescent="0.25">
      <c r="B32" s="9">
        <v>29</v>
      </c>
      <c r="C32" s="10">
        <f>'[15]Estimasi NPHR'!C32</f>
        <v>4120.2601079286005</v>
      </c>
      <c r="D32" s="11">
        <f>'[15]Estimasi NPHR'!D32</f>
        <v>0</v>
      </c>
      <c r="E32" s="12">
        <f>'[15]Coal Blend'!BV455</f>
        <v>8.3333333333333329E-2</v>
      </c>
      <c r="F32" s="12">
        <f t="shared" si="0"/>
        <v>0.91666666666666663</v>
      </c>
      <c r="G32" s="13">
        <f t="shared" si="1"/>
        <v>0</v>
      </c>
      <c r="H32" s="13">
        <f t="shared" si="2"/>
        <v>0</v>
      </c>
      <c r="I32" s="13">
        <f t="shared" si="3"/>
        <v>0</v>
      </c>
    </row>
    <row r="33" spans="2:9" ht="15.75" thickBot="1" x14ac:dyDescent="0.3">
      <c r="B33" s="9">
        <v>30</v>
      </c>
      <c r="C33" s="10">
        <f>'[15]Estimasi NPHR'!C33</f>
        <v>4024.0721833578791</v>
      </c>
      <c r="D33" s="11">
        <f>'[15]Estimasi NPHR'!D33</f>
        <v>0</v>
      </c>
      <c r="E33" s="12">
        <f>'[15]Coal Blend'!BV471</f>
        <v>0</v>
      </c>
      <c r="F33" s="12">
        <f t="shared" si="0"/>
        <v>1</v>
      </c>
      <c r="G33" s="13">
        <f t="shared" si="1"/>
        <v>0</v>
      </c>
      <c r="H33" s="13">
        <f t="shared" si="2"/>
        <v>0</v>
      </c>
      <c r="I33" s="13">
        <f t="shared" si="3"/>
        <v>0</v>
      </c>
    </row>
    <row r="34" spans="2:9" ht="15.75" thickBot="1" x14ac:dyDescent="0.3">
      <c r="B34" s="14"/>
      <c r="C34" s="15">
        <f>IF(D34=0,0,I34/D34)</f>
        <v>0</v>
      </c>
      <c r="D34" s="16">
        <f>SUM(D4:D33)</f>
        <v>0</v>
      </c>
      <c r="E34" s="16"/>
      <c r="F34" s="16"/>
      <c r="G34" s="16">
        <f>SUM(G4:G33)</f>
        <v>0</v>
      </c>
      <c r="H34" s="16">
        <f>SUM(H4:H33)</f>
        <v>0</v>
      </c>
      <c r="I34" s="17">
        <f>SUM(I4:I33)</f>
        <v>0</v>
      </c>
    </row>
    <row r="35" spans="2:9" x14ac:dyDescent="0.25">
      <c r="D35" s="18">
        <f>MAX(D4:D33)</f>
        <v>0</v>
      </c>
    </row>
  </sheetData>
  <mergeCells count="2">
    <mergeCell ref="B2:B3"/>
    <mergeCell ref="C2:I2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28C83-1007-428B-B195-3372881097D0}">
  <dimension ref="B1:I35"/>
  <sheetViews>
    <sheetView workbookViewId="0">
      <selection activeCell="P36" sqref="P36"/>
    </sheetView>
  </sheetViews>
  <sheetFormatPr defaultRowHeight="15" x14ac:dyDescent="0.25"/>
  <cols>
    <col min="2" max="2" width="8.5703125" bestFit="1" customWidth="1"/>
    <col min="3" max="3" width="9.5703125" bestFit="1" customWidth="1"/>
    <col min="4" max="4" width="11.5703125" bestFit="1" customWidth="1"/>
    <col min="5" max="6" width="5.5703125" bestFit="1" customWidth="1"/>
    <col min="7" max="8" width="10.5703125" bestFit="1" customWidth="1"/>
    <col min="9" max="9" width="12.5703125" bestFit="1" customWidth="1"/>
  </cols>
  <sheetData>
    <row r="1" spans="2:9" ht="15.75" thickBot="1" x14ac:dyDescent="0.3"/>
    <row r="2" spans="2:9" ht="16.5" thickBot="1" x14ac:dyDescent="0.3">
      <c r="B2" s="1" t="s">
        <v>6</v>
      </c>
      <c r="C2" s="2" t="s">
        <v>5</v>
      </c>
      <c r="D2" s="3"/>
      <c r="E2" s="3"/>
      <c r="F2" s="3"/>
      <c r="G2" s="3"/>
      <c r="H2" s="3"/>
      <c r="I2" s="4"/>
    </row>
    <row r="3" spans="2:9" ht="16.5" thickBot="1" x14ac:dyDescent="0.3">
      <c r="B3" s="5"/>
      <c r="C3" s="6" t="s">
        <v>4</v>
      </c>
      <c r="D3" s="7" t="s">
        <v>0</v>
      </c>
      <c r="E3" s="8" t="s">
        <v>1</v>
      </c>
      <c r="F3" s="8" t="s">
        <v>2</v>
      </c>
      <c r="G3" s="8" t="s">
        <v>1</v>
      </c>
      <c r="H3" s="8" t="s">
        <v>2</v>
      </c>
      <c r="I3" s="8" t="s">
        <v>3</v>
      </c>
    </row>
    <row r="4" spans="2:9" x14ac:dyDescent="0.25">
      <c r="B4" s="9">
        <v>1</v>
      </c>
      <c r="C4" s="10">
        <f>'[16]Estimasi NPHR'!C4</f>
        <v>4020.8740079365075</v>
      </c>
      <c r="D4" s="11">
        <f>'[16]Estimasi NPHR'!D4</f>
        <v>0</v>
      </c>
      <c r="E4" s="12">
        <f>'[16]Coal Blend'!BV7</f>
        <v>3.3333333333333333E-2</v>
      </c>
      <c r="F4" s="12">
        <f>1-E4</f>
        <v>0.96666666666666667</v>
      </c>
      <c r="G4" s="13">
        <f>_xlfn.IFNA(E4*D4,0)</f>
        <v>0</v>
      </c>
      <c r="H4" s="13">
        <f>_xlfn.IFNA(F4*D4,0)</f>
        <v>0</v>
      </c>
      <c r="I4" s="13">
        <f>C4*D4</f>
        <v>0</v>
      </c>
    </row>
    <row r="5" spans="2:9" x14ac:dyDescent="0.25">
      <c r="B5" s="9">
        <v>2</v>
      </c>
      <c r="C5" s="10">
        <f>'[16]Estimasi NPHR'!C5</f>
        <v>4101.0212121212126</v>
      </c>
      <c r="D5" s="11">
        <f>'[16]Estimasi NPHR'!D5</f>
        <v>0</v>
      </c>
      <c r="E5" s="12">
        <f>'[16]Coal Blend'!BV23</f>
        <v>9.9999999999999992E-2</v>
      </c>
      <c r="F5" s="12">
        <f t="shared" ref="F5:F33" si="0">1-E5</f>
        <v>0.9</v>
      </c>
      <c r="G5" s="13">
        <f t="shared" ref="G5:G33" si="1">_xlfn.IFNA(E5*D5,0)</f>
        <v>0</v>
      </c>
      <c r="H5" s="13">
        <f t="shared" ref="H5:H33" si="2">_xlfn.IFNA(F5*D5,0)</f>
        <v>0</v>
      </c>
      <c r="I5" s="13">
        <f t="shared" ref="I5:I33" si="3">C5*D5</f>
        <v>0</v>
      </c>
    </row>
    <row r="6" spans="2:9" x14ac:dyDescent="0.25">
      <c r="B6" s="9">
        <v>3</v>
      </c>
      <c r="C6" s="10">
        <f>'[16]Estimasi NPHR'!C6</f>
        <v>4114.5691501400561</v>
      </c>
      <c r="D6" s="11">
        <f>'[16]Estimasi NPHR'!D6</f>
        <v>0</v>
      </c>
      <c r="E6" s="12">
        <f>'[16]Coal Blend'!BV39</f>
        <v>0.13333333333333333</v>
      </c>
      <c r="F6" s="12">
        <f t="shared" si="0"/>
        <v>0.8666666666666667</v>
      </c>
      <c r="G6" s="13">
        <f t="shared" si="1"/>
        <v>0</v>
      </c>
      <c r="H6" s="13">
        <f t="shared" si="2"/>
        <v>0</v>
      </c>
      <c r="I6" s="13">
        <f t="shared" si="3"/>
        <v>0</v>
      </c>
    </row>
    <row r="7" spans="2:9" x14ac:dyDescent="0.25">
      <c r="B7" s="9">
        <v>4</v>
      </c>
      <c r="C7" s="10">
        <f>'[16]Estimasi NPHR'!C7</f>
        <v>4108.195652173913</v>
      </c>
      <c r="D7" s="11">
        <f>'[16]Estimasi NPHR'!D7</f>
        <v>0</v>
      </c>
      <c r="E7" s="12">
        <f>'[16]Coal Blend'!BV55</f>
        <v>4.9999999999999996E-2</v>
      </c>
      <c r="F7" s="12">
        <f t="shared" si="0"/>
        <v>0.95</v>
      </c>
      <c r="G7" s="13">
        <f t="shared" si="1"/>
        <v>0</v>
      </c>
      <c r="H7" s="13">
        <f t="shared" si="2"/>
        <v>0</v>
      </c>
      <c r="I7" s="13">
        <f t="shared" si="3"/>
        <v>0</v>
      </c>
    </row>
    <row r="8" spans="2:9" x14ac:dyDescent="0.25">
      <c r="B8" s="9">
        <v>5</v>
      </c>
      <c r="C8" s="10">
        <f>'[16]Estimasi NPHR'!C8</f>
        <v>4100.9234489702521</v>
      </c>
      <c r="D8" s="11">
        <f>'[16]Estimasi NPHR'!D8</f>
        <v>0</v>
      </c>
      <c r="E8" s="12">
        <f>'[16]Coal Blend'!BV71</f>
        <v>0.35833333333333339</v>
      </c>
      <c r="F8" s="12">
        <f t="shared" si="0"/>
        <v>0.64166666666666661</v>
      </c>
      <c r="G8" s="13">
        <f t="shared" si="1"/>
        <v>0</v>
      </c>
      <c r="H8" s="13">
        <f t="shared" si="2"/>
        <v>0</v>
      </c>
      <c r="I8" s="13">
        <f t="shared" si="3"/>
        <v>0</v>
      </c>
    </row>
    <row r="9" spans="2:9" x14ac:dyDescent="0.25">
      <c r="B9" s="9">
        <v>6</v>
      </c>
      <c r="C9" s="10">
        <f>'[16]Estimasi NPHR'!C9</f>
        <v>4187.3412936531277</v>
      </c>
      <c r="D9" s="11">
        <f>'[16]Estimasi NPHR'!D9</f>
        <v>0</v>
      </c>
      <c r="E9" s="12">
        <f>'[16]Coal Blend'!BV87</f>
        <v>0.5</v>
      </c>
      <c r="F9" s="12">
        <f t="shared" si="0"/>
        <v>0.5</v>
      </c>
      <c r="G9" s="13">
        <f t="shared" si="1"/>
        <v>0</v>
      </c>
      <c r="H9" s="13">
        <f t="shared" si="2"/>
        <v>0</v>
      </c>
      <c r="I9" s="13">
        <f t="shared" si="3"/>
        <v>0</v>
      </c>
    </row>
    <row r="10" spans="2:9" x14ac:dyDescent="0.25">
      <c r="B10" s="9">
        <v>7</v>
      </c>
      <c r="C10" s="10">
        <f>'[16]Estimasi NPHR'!C10</f>
        <v>4128.1633559090906</v>
      </c>
      <c r="D10" s="11">
        <f>'[16]Estimasi NPHR'!D10</f>
        <v>0</v>
      </c>
      <c r="E10" s="12">
        <f>'[16]Coal Blend'!BV103</f>
        <v>0.35833333333333334</v>
      </c>
      <c r="F10" s="12">
        <f t="shared" si="0"/>
        <v>0.64166666666666661</v>
      </c>
      <c r="G10" s="13">
        <f t="shared" si="1"/>
        <v>0</v>
      </c>
      <c r="H10" s="13">
        <f t="shared" si="2"/>
        <v>0</v>
      </c>
      <c r="I10" s="13">
        <f t="shared" si="3"/>
        <v>0</v>
      </c>
    </row>
    <row r="11" spans="2:9" x14ac:dyDescent="0.25">
      <c r="B11" s="9">
        <v>8</v>
      </c>
      <c r="C11" s="10">
        <f>'[16]Estimasi NPHR'!C11</f>
        <v>4291.7727213675216</v>
      </c>
      <c r="D11" s="11">
        <f>'[16]Estimasi NPHR'!D11</f>
        <v>0</v>
      </c>
      <c r="E11" s="12">
        <f>'[16]Coal Blend'!BV119</f>
        <v>0.69166666666666676</v>
      </c>
      <c r="F11" s="12">
        <f t="shared" si="0"/>
        <v>0.30833333333333324</v>
      </c>
      <c r="G11" s="13">
        <f t="shared" si="1"/>
        <v>0</v>
      </c>
      <c r="H11" s="13">
        <f t="shared" si="2"/>
        <v>0</v>
      </c>
      <c r="I11" s="13">
        <f t="shared" si="3"/>
        <v>0</v>
      </c>
    </row>
    <row r="12" spans="2:9" x14ac:dyDescent="0.25">
      <c r="B12" s="9">
        <v>9</v>
      </c>
      <c r="C12" s="10">
        <f>'[16]Estimasi NPHR'!C12</f>
        <v>4234.9923609756097</v>
      </c>
      <c r="D12" s="11">
        <f>'[16]Estimasi NPHR'!D12</f>
        <v>0</v>
      </c>
      <c r="E12" s="12">
        <f>'[16]Coal Blend'!BV135</f>
        <v>0.5</v>
      </c>
      <c r="F12" s="12">
        <f t="shared" si="0"/>
        <v>0.5</v>
      </c>
      <c r="G12" s="13">
        <f t="shared" si="1"/>
        <v>0</v>
      </c>
      <c r="H12" s="13">
        <f t="shared" si="2"/>
        <v>0</v>
      </c>
      <c r="I12" s="13">
        <f t="shared" si="3"/>
        <v>0</v>
      </c>
    </row>
    <row r="13" spans="2:9" x14ac:dyDescent="0.25">
      <c r="B13" s="9">
        <v>10</v>
      </c>
      <c r="C13" s="10">
        <f>'[16]Estimasi NPHR'!C13</f>
        <v>4289.0027086601303</v>
      </c>
      <c r="D13" s="11">
        <f>'[16]Estimasi NPHR'!D13</f>
        <v>0</v>
      </c>
      <c r="E13" s="12">
        <f>'[16]Coal Blend'!BV151</f>
        <v>0.6166666666666667</v>
      </c>
      <c r="F13" s="12">
        <f t="shared" si="0"/>
        <v>0.3833333333333333</v>
      </c>
      <c r="G13" s="13">
        <f t="shared" si="1"/>
        <v>0</v>
      </c>
      <c r="H13" s="13">
        <f t="shared" si="2"/>
        <v>0</v>
      </c>
      <c r="I13" s="13">
        <f t="shared" si="3"/>
        <v>0</v>
      </c>
    </row>
    <row r="14" spans="2:9" x14ac:dyDescent="0.25">
      <c r="B14" s="9">
        <v>11</v>
      </c>
      <c r="C14" s="10">
        <f>'[16]Estimasi NPHR'!C14</f>
        <v>4244.5341025641028</v>
      </c>
      <c r="D14" s="11">
        <f>'[16]Estimasi NPHR'!D14</f>
        <v>0</v>
      </c>
      <c r="E14" s="12">
        <f>'[16]Coal Blend'!BV167</f>
        <v>0.66666666666666663</v>
      </c>
      <c r="F14" s="12">
        <f t="shared" si="0"/>
        <v>0.33333333333333337</v>
      </c>
      <c r="G14" s="13">
        <f t="shared" si="1"/>
        <v>0</v>
      </c>
      <c r="H14" s="13">
        <f t="shared" si="2"/>
        <v>0</v>
      </c>
      <c r="I14" s="13">
        <f t="shared" si="3"/>
        <v>0</v>
      </c>
    </row>
    <row r="15" spans="2:9" x14ac:dyDescent="0.25">
      <c r="B15" s="9">
        <v>12</v>
      </c>
      <c r="C15" s="10">
        <f>'[16]Estimasi NPHR'!C15</f>
        <v>4131.8799895833336</v>
      </c>
      <c r="D15" s="11">
        <f>'[16]Estimasi NPHR'!D15</f>
        <v>0</v>
      </c>
      <c r="E15" s="12">
        <f>'[16]Coal Blend'!BV183</f>
        <v>0.29166666666666669</v>
      </c>
      <c r="F15" s="12">
        <f t="shared" si="0"/>
        <v>0.70833333333333326</v>
      </c>
      <c r="G15" s="13">
        <f t="shared" si="1"/>
        <v>0</v>
      </c>
      <c r="H15" s="13">
        <f t="shared" si="2"/>
        <v>0</v>
      </c>
      <c r="I15" s="13">
        <f t="shared" si="3"/>
        <v>0</v>
      </c>
    </row>
    <row r="16" spans="2:9" x14ac:dyDescent="0.25">
      <c r="B16" s="9">
        <v>13</v>
      </c>
      <c r="C16" s="10">
        <f>'[16]Estimasi NPHR'!C16</f>
        <v>4205.3598717948726</v>
      </c>
      <c r="D16" s="11">
        <f>'[16]Estimasi NPHR'!D16</f>
        <v>0</v>
      </c>
      <c r="E16" s="12">
        <f>'[16]Coal Blend'!BV199</f>
        <v>0.43333333333333335</v>
      </c>
      <c r="F16" s="12">
        <f t="shared" si="0"/>
        <v>0.56666666666666665</v>
      </c>
      <c r="G16" s="13">
        <f t="shared" si="1"/>
        <v>0</v>
      </c>
      <c r="H16" s="13">
        <f t="shared" si="2"/>
        <v>0</v>
      </c>
      <c r="I16" s="13">
        <f t="shared" si="3"/>
        <v>0</v>
      </c>
    </row>
    <row r="17" spans="2:9" x14ac:dyDescent="0.25">
      <c r="B17" s="9">
        <v>14</v>
      </c>
      <c r="C17" s="10">
        <f>'[16]Estimasi NPHR'!C17</f>
        <v>4006.6925078052445</v>
      </c>
      <c r="D17" s="11">
        <f>'[16]Estimasi NPHR'!D17</f>
        <v>0</v>
      </c>
      <c r="E17" s="12">
        <f>'[16]Coal Blend'!BV215</f>
        <v>0.6</v>
      </c>
      <c r="F17" s="12">
        <f t="shared" si="0"/>
        <v>0.4</v>
      </c>
      <c r="G17" s="13">
        <f t="shared" si="1"/>
        <v>0</v>
      </c>
      <c r="H17" s="13">
        <f t="shared" si="2"/>
        <v>0</v>
      </c>
      <c r="I17" s="13">
        <f t="shared" si="3"/>
        <v>0</v>
      </c>
    </row>
    <row r="18" spans="2:9" x14ac:dyDescent="0.25">
      <c r="B18" s="9">
        <v>15</v>
      </c>
      <c r="C18" s="10">
        <f>'[16]Estimasi NPHR'!C18</f>
        <v>4181.2407665505225</v>
      </c>
      <c r="D18" s="11">
        <f>'[16]Estimasi NPHR'!D18</f>
        <v>0</v>
      </c>
      <c r="E18" s="12">
        <f>'[16]Coal Blend'!BV231</f>
        <v>0.46666666666666662</v>
      </c>
      <c r="F18" s="12">
        <f t="shared" si="0"/>
        <v>0.53333333333333344</v>
      </c>
      <c r="G18" s="13">
        <f t="shared" si="1"/>
        <v>0</v>
      </c>
      <c r="H18" s="13">
        <f t="shared" si="2"/>
        <v>0</v>
      </c>
      <c r="I18" s="13">
        <f t="shared" si="3"/>
        <v>0</v>
      </c>
    </row>
    <row r="19" spans="2:9" x14ac:dyDescent="0.25">
      <c r="B19" s="9">
        <v>16</v>
      </c>
      <c r="C19" s="10">
        <f>'[16]Estimasi NPHR'!C19</f>
        <v>4255.9503410059669</v>
      </c>
      <c r="D19" s="11">
        <f>'[16]Estimasi NPHR'!D19</f>
        <v>0</v>
      </c>
      <c r="E19" s="12">
        <f>'[16]Coal Blend'!BV247</f>
        <v>0.5</v>
      </c>
      <c r="F19" s="12">
        <f t="shared" si="0"/>
        <v>0.5</v>
      </c>
      <c r="G19" s="13">
        <f t="shared" si="1"/>
        <v>0</v>
      </c>
      <c r="H19" s="13">
        <f t="shared" si="2"/>
        <v>0</v>
      </c>
      <c r="I19" s="13">
        <f t="shared" si="3"/>
        <v>0</v>
      </c>
    </row>
    <row r="20" spans="2:9" x14ac:dyDescent="0.25">
      <c r="B20" s="9">
        <v>17</v>
      </c>
      <c r="C20" s="10">
        <f>'[16]Estimasi NPHR'!C20</f>
        <v>4240.7251630226319</v>
      </c>
      <c r="D20" s="11">
        <f>'[16]Estimasi NPHR'!D20</f>
        <v>0</v>
      </c>
      <c r="E20" s="12">
        <f>'[16]Coal Blend'!BV263</f>
        <v>0.60833333333333328</v>
      </c>
      <c r="F20" s="12">
        <f t="shared" si="0"/>
        <v>0.39166666666666672</v>
      </c>
      <c r="G20" s="13">
        <f t="shared" si="1"/>
        <v>0</v>
      </c>
      <c r="H20" s="13">
        <f t="shared" si="2"/>
        <v>0</v>
      </c>
      <c r="I20" s="13">
        <f t="shared" si="3"/>
        <v>0</v>
      </c>
    </row>
    <row r="21" spans="2:9" x14ac:dyDescent="0.25">
      <c r="B21" s="9">
        <v>18</v>
      </c>
      <c r="C21" s="10">
        <f>'[16]Estimasi NPHR'!C21</f>
        <v>4260.1938285714295</v>
      </c>
      <c r="D21" s="11">
        <f>'[16]Estimasi NPHR'!D21</f>
        <v>0</v>
      </c>
      <c r="E21" s="12">
        <f>'[16]Coal Blend'!BV279</f>
        <v>0.6</v>
      </c>
      <c r="F21" s="12">
        <f t="shared" si="0"/>
        <v>0.4</v>
      </c>
      <c r="G21" s="13">
        <f t="shared" si="1"/>
        <v>0</v>
      </c>
      <c r="H21" s="13">
        <f t="shared" si="2"/>
        <v>0</v>
      </c>
      <c r="I21" s="13">
        <f t="shared" si="3"/>
        <v>0</v>
      </c>
    </row>
    <row r="22" spans="2:9" x14ac:dyDescent="0.25">
      <c r="B22" s="9">
        <v>19</v>
      </c>
      <c r="C22" s="10">
        <f>'[16]Estimasi NPHR'!C22</f>
        <v>4013.782916666667</v>
      </c>
      <c r="D22" s="11">
        <f>'[16]Estimasi NPHR'!D22</f>
        <v>0</v>
      </c>
      <c r="E22" s="12">
        <f>'[16]Coal Blend'!BV295</f>
        <v>0.58333333333333337</v>
      </c>
      <c r="F22" s="12">
        <f t="shared" si="0"/>
        <v>0.41666666666666663</v>
      </c>
      <c r="G22" s="13">
        <f t="shared" si="1"/>
        <v>0</v>
      </c>
      <c r="H22" s="13">
        <f t="shared" si="2"/>
        <v>0</v>
      </c>
      <c r="I22" s="13">
        <f t="shared" si="3"/>
        <v>0</v>
      </c>
    </row>
    <row r="23" spans="2:9" x14ac:dyDescent="0.25">
      <c r="B23" s="9">
        <v>20</v>
      </c>
      <c r="C23" s="10">
        <f>'[16]Estimasi NPHR'!C23</f>
        <v>3986.7634331140348</v>
      </c>
      <c r="D23" s="11">
        <f>'[16]Estimasi NPHR'!D23</f>
        <v>0</v>
      </c>
      <c r="E23" s="12">
        <f>'[16]Coal Blend'!BV311</f>
        <v>0.13333333333333333</v>
      </c>
      <c r="F23" s="12">
        <f t="shared" si="0"/>
        <v>0.8666666666666667</v>
      </c>
      <c r="G23" s="13">
        <f t="shared" si="1"/>
        <v>0</v>
      </c>
      <c r="H23" s="13">
        <f t="shared" si="2"/>
        <v>0</v>
      </c>
      <c r="I23" s="13">
        <f t="shared" si="3"/>
        <v>0</v>
      </c>
    </row>
    <row r="24" spans="2:9" x14ac:dyDescent="0.25">
      <c r="B24" s="9">
        <v>21</v>
      </c>
      <c r="C24" s="10">
        <f>'[16]Estimasi NPHR'!C24</f>
        <v>4137.2</v>
      </c>
      <c r="D24" s="11">
        <f>'[16]Estimasi NPHR'!D24</f>
        <v>0</v>
      </c>
      <c r="E24" s="12">
        <f>'[16]Coal Blend'!BV327</f>
        <v>0.19999999999999998</v>
      </c>
      <c r="F24" s="12">
        <f t="shared" si="0"/>
        <v>0.8</v>
      </c>
      <c r="G24" s="13">
        <f t="shared" si="1"/>
        <v>0</v>
      </c>
      <c r="H24" s="13">
        <f t="shared" si="2"/>
        <v>0</v>
      </c>
      <c r="I24" s="13">
        <f t="shared" si="3"/>
        <v>0</v>
      </c>
    </row>
    <row r="25" spans="2:9" x14ac:dyDescent="0.25">
      <c r="B25" s="9">
        <v>22</v>
      </c>
      <c r="C25" s="10">
        <f>'[16]Estimasi NPHR'!C25</f>
        <v>4079.5589916316749</v>
      </c>
      <c r="D25" s="11">
        <f>'[16]Estimasi NPHR'!D25</f>
        <v>0</v>
      </c>
      <c r="E25" s="12">
        <f>'[16]Coal Blend'!BV343</f>
        <v>8.3333333333333329E-2</v>
      </c>
      <c r="F25" s="12">
        <f t="shared" si="0"/>
        <v>0.91666666666666663</v>
      </c>
      <c r="G25" s="13">
        <f t="shared" si="1"/>
        <v>0</v>
      </c>
      <c r="H25" s="13">
        <f t="shared" si="2"/>
        <v>0</v>
      </c>
      <c r="I25" s="13">
        <f t="shared" si="3"/>
        <v>0</v>
      </c>
    </row>
    <row r="26" spans="2:9" x14ac:dyDescent="0.25">
      <c r="B26" s="9">
        <v>23</v>
      </c>
      <c r="C26" s="10" t="str">
        <f>'[16]Estimasi NPHR'!C26</f>
        <v>0</v>
      </c>
      <c r="D26" s="11">
        <f>'[16]Estimasi NPHR'!D26</f>
        <v>0</v>
      </c>
      <c r="E26" s="12">
        <f>'[16]Coal Blend'!BV359</f>
        <v>0</v>
      </c>
      <c r="F26" s="12">
        <f t="shared" si="0"/>
        <v>1</v>
      </c>
      <c r="G26" s="13">
        <f t="shared" si="1"/>
        <v>0</v>
      </c>
      <c r="H26" s="13">
        <f t="shared" si="2"/>
        <v>0</v>
      </c>
      <c r="I26" s="13">
        <f t="shared" si="3"/>
        <v>0</v>
      </c>
    </row>
    <row r="27" spans="2:9" x14ac:dyDescent="0.25">
      <c r="B27" s="9">
        <v>24</v>
      </c>
      <c r="C27" s="10" t="str">
        <f>'[16]Estimasi NPHR'!C27</f>
        <v>0</v>
      </c>
      <c r="D27" s="11">
        <f>'[16]Estimasi NPHR'!D27</f>
        <v>0</v>
      </c>
      <c r="E27" s="12">
        <f>'[16]Coal Blend'!BV375</f>
        <v>0</v>
      </c>
      <c r="F27" s="12">
        <f t="shared" si="0"/>
        <v>1</v>
      </c>
      <c r="G27" s="13">
        <f t="shared" si="1"/>
        <v>0</v>
      </c>
      <c r="H27" s="13">
        <f t="shared" si="2"/>
        <v>0</v>
      </c>
      <c r="I27" s="13">
        <f t="shared" si="3"/>
        <v>0</v>
      </c>
    </row>
    <row r="28" spans="2:9" x14ac:dyDescent="0.25">
      <c r="B28" s="9">
        <v>25</v>
      </c>
      <c r="C28" s="10" t="str">
        <f>'[16]Estimasi NPHR'!C28</f>
        <v>0</v>
      </c>
      <c r="D28" s="11">
        <f>'[16]Estimasi NPHR'!D28</f>
        <v>0</v>
      </c>
      <c r="E28" s="12">
        <f>'[16]Coal Blend'!BV391</f>
        <v>0</v>
      </c>
      <c r="F28" s="12">
        <f t="shared" si="0"/>
        <v>1</v>
      </c>
      <c r="G28" s="13">
        <f t="shared" si="1"/>
        <v>0</v>
      </c>
      <c r="H28" s="13">
        <f t="shared" si="2"/>
        <v>0</v>
      </c>
      <c r="I28" s="13">
        <f t="shared" si="3"/>
        <v>0</v>
      </c>
    </row>
    <row r="29" spans="2:9" x14ac:dyDescent="0.25">
      <c r="B29" s="9">
        <v>26</v>
      </c>
      <c r="C29" s="10" t="str">
        <f>'[16]Estimasi NPHR'!C29</f>
        <v>0</v>
      </c>
      <c r="D29" s="11">
        <f>'[16]Estimasi NPHR'!D29</f>
        <v>0</v>
      </c>
      <c r="E29" s="12">
        <f>'[16]Coal Blend'!BV407</f>
        <v>0</v>
      </c>
      <c r="F29" s="12">
        <f t="shared" si="0"/>
        <v>1</v>
      </c>
      <c r="G29" s="13">
        <f t="shared" si="1"/>
        <v>0</v>
      </c>
      <c r="H29" s="13">
        <f t="shared" si="2"/>
        <v>0</v>
      </c>
      <c r="I29" s="13">
        <f t="shared" si="3"/>
        <v>0</v>
      </c>
    </row>
    <row r="30" spans="2:9" x14ac:dyDescent="0.25">
      <c r="B30" s="9">
        <v>27</v>
      </c>
      <c r="C30" s="10" t="str">
        <f>'[16]Estimasi NPHR'!C30</f>
        <v>0</v>
      </c>
      <c r="D30" s="11">
        <f>'[16]Estimasi NPHR'!D30</f>
        <v>0</v>
      </c>
      <c r="E30" s="12">
        <f>'[16]Coal Blend'!BV423</f>
        <v>0</v>
      </c>
      <c r="F30" s="12">
        <f t="shared" si="0"/>
        <v>1</v>
      </c>
      <c r="G30" s="13">
        <f t="shared" si="1"/>
        <v>0</v>
      </c>
      <c r="H30" s="13">
        <f t="shared" si="2"/>
        <v>0</v>
      </c>
      <c r="I30" s="13">
        <f t="shared" si="3"/>
        <v>0</v>
      </c>
    </row>
    <row r="31" spans="2:9" x14ac:dyDescent="0.25">
      <c r="B31" s="9">
        <v>28</v>
      </c>
      <c r="C31" s="10" t="str">
        <f>'[16]Estimasi NPHR'!C31</f>
        <v>0</v>
      </c>
      <c r="D31" s="11">
        <f>'[16]Estimasi NPHR'!D31</f>
        <v>0</v>
      </c>
      <c r="E31" s="12">
        <f>'[16]Coal Blend'!BV439</f>
        <v>0</v>
      </c>
      <c r="F31" s="12">
        <f t="shared" si="0"/>
        <v>1</v>
      </c>
      <c r="G31" s="13">
        <f t="shared" si="1"/>
        <v>0</v>
      </c>
      <c r="H31" s="13">
        <f t="shared" si="2"/>
        <v>0</v>
      </c>
      <c r="I31" s="13">
        <f t="shared" si="3"/>
        <v>0</v>
      </c>
    </row>
    <row r="32" spans="2:9" x14ac:dyDescent="0.25">
      <c r="B32" s="9">
        <v>29</v>
      </c>
      <c r="C32" s="10" t="str">
        <f>'[16]Estimasi NPHR'!C32</f>
        <v>0</v>
      </c>
      <c r="D32" s="11">
        <f>'[16]Estimasi NPHR'!D32</f>
        <v>0</v>
      </c>
      <c r="E32" s="12">
        <f>'[16]Coal Blend'!BV455</f>
        <v>0</v>
      </c>
      <c r="F32" s="12">
        <f t="shared" si="0"/>
        <v>1</v>
      </c>
      <c r="G32" s="13">
        <f t="shared" si="1"/>
        <v>0</v>
      </c>
      <c r="H32" s="13">
        <f t="shared" si="2"/>
        <v>0</v>
      </c>
      <c r="I32" s="13">
        <f t="shared" si="3"/>
        <v>0</v>
      </c>
    </row>
    <row r="33" spans="2:9" ht="15.75" thickBot="1" x14ac:dyDescent="0.3">
      <c r="B33" s="9">
        <v>30</v>
      </c>
      <c r="C33" s="10" t="str">
        <f>'[16]Estimasi NPHR'!C33</f>
        <v>0</v>
      </c>
      <c r="D33" s="11">
        <f>'[16]Estimasi NPHR'!D33</f>
        <v>0</v>
      </c>
      <c r="E33" s="12">
        <f>'[16]Coal Blend'!BV471</f>
        <v>0</v>
      </c>
      <c r="F33" s="12">
        <f t="shared" si="0"/>
        <v>1</v>
      </c>
      <c r="G33" s="13">
        <f t="shared" si="1"/>
        <v>0</v>
      </c>
      <c r="H33" s="13">
        <f t="shared" si="2"/>
        <v>0</v>
      </c>
      <c r="I33" s="13">
        <f t="shared" si="3"/>
        <v>0</v>
      </c>
    </row>
    <row r="34" spans="2:9" ht="15.75" thickBot="1" x14ac:dyDescent="0.3">
      <c r="B34" s="14"/>
      <c r="C34" s="15">
        <f>IF(D34=0,0,I34/D34)</f>
        <v>0</v>
      </c>
      <c r="D34" s="16">
        <f>SUM(D4:D33)</f>
        <v>0</v>
      </c>
      <c r="E34" s="16"/>
      <c r="F34" s="16"/>
      <c r="G34" s="16">
        <f>SUM(G4:G33)</f>
        <v>0</v>
      </c>
      <c r="H34" s="16">
        <f>SUM(H4:H33)</f>
        <v>0</v>
      </c>
      <c r="I34" s="17">
        <f>SUM(I4:I33)</f>
        <v>0</v>
      </c>
    </row>
    <row r="35" spans="2:9" x14ac:dyDescent="0.25">
      <c r="D35" s="18">
        <f>MAX(D4:D33)</f>
        <v>0</v>
      </c>
    </row>
  </sheetData>
  <mergeCells count="2">
    <mergeCell ref="B2:B3"/>
    <mergeCell ref="C2:I2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E2BAE-610B-4D72-B298-0A45219E6BEF}">
  <dimension ref="B1:I35"/>
  <sheetViews>
    <sheetView workbookViewId="0">
      <selection activeCell="N36" sqref="N36"/>
    </sheetView>
  </sheetViews>
  <sheetFormatPr defaultRowHeight="15" x14ac:dyDescent="0.25"/>
  <cols>
    <col min="2" max="2" width="8.5703125" bestFit="1" customWidth="1"/>
    <col min="3" max="3" width="9.5703125" bestFit="1" customWidth="1"/>
    <col min="4" max="4" width="11.5703125" bestFit="1" customWidth="1"/>
    <col min="5" max="6" width="5.5703125" bestFit="1" customWidth="1"/>
    <col min="7" max="8" width="10.5703125" bestFit="1" customWidth="1"/>
    <col min="9" max="9" width="12.5703125" bestFit="1" customWidth="1"/>
  </cols>
  <sheetData>
    <row r="1" spans="2:9" ht="15.75" thickBot="1" x14ac:dyDescent="0.3"/>
    <row r="2" spans="2:9" ht="16.5" thickBot="1" x14ac:dyDescent="0.3">
      <c r="B2" s="1" t="s">
        <v>6</v>
      </c>
      <c r="C2" s="2" t="s">
        <v>5</v>
      </c>
      <c r="D2" s="3"/>
      <c r="E2" s="3"/>
      <c r="F2" s="3"/>
      <c r="G2" s="3"/>
      <c r="H2" s="3"/>
      <c r="I2" s="4"/>
    </row>
    <row r="3" spans="2:9" ht="16.5" thickBot="1" x14ac:dyDescent="0.3">
      <c r="B3" s="5"/>
      <c r="C3" s="6" t="s">
        <v>4</v>
      </c>
      <c r="D3" s="7" t="s">
        <v>0</v>
      </c>
      <c r="E3" s="8" t="s">
        <v>1</v>
      </c>
      <c r="F3" s="8" t="s">
        <v>2</v>
      </c>
      <c r="G3" s="8" t="s">
        <v>1</v>
      </c>
      <c r="H3" s="8" t="s">
        <v>2</v>
      </c>
      <c r="I3" s="8" t="s">
        <v>3</v>
      </c>
    </row>
    <row r="4" spans="2:9" x14ac:dyDescent="0.25">
      <c r="B4" s="9">
        <v>1</v>
      </c>
      <c r="C4" s="10">
        <f>'[17]Estimasi NPHR'!C4</f>
        <v>4109.3239943502822</v>
      </c>
      <c r="D4" s="11">
        <f>'[17]Estimasi NPHR'!D4</f>
        <v>0</v>
      </c>
      <c r="E4" s="12">
        <f>'[17]Coal Blend'!BV7</f>
        <v>0.22500000000000001</v>
      </c>
      <c r="F4" s="12">
        <f>1-E4</f>
        <v>0.77500000000000002</v>
      </c>
      <c r="G4" s="13">
        <f>_xlfn.IFNA(E4*D4,0)</f>
        <v>0</v>
      </c>
      <c r="H4" s="13">
        <f>_xlfn.IFNA(F4*D4,0)</f>
        <v>0</v>
      </c>
      <c r="I4" s="13">
        <f>C4*D4</f>
        <v>0</v>
      </c>
    </row>
    <row r="5" spans="2:9" x14ac:dyDescent="0.25">
      <c r="B5" s="9">
        <v>2</v>
      </c>
      <c r="C5" s="10">
        <f>'[17]Estimasi NPHR'!C5</f>
        <v>4266.1188873563215</v>
      </c>
      <c r="D5" s="11">
        <f>'[17]Estimasi NPHR'!D5</f>
        <v>0</v>
      </c>
      <c r="E5" s="12">
        <f>'[17]Coal Blend'!BV23</f>
        <v>0.48333333333333334</v>
      </c>
      <c r="F5" s="12">
        <f>1-E5</f>
        <v>0.51666666666666661</v>
      </c>
      <c r="G5" s="13">
        <f>_xlfn.IFNA(E5*D5,0)</f>
        <v>0</v>
      </c>
      <c r="H5" s="13">
        <f>_xlfn.IFNA(F5*D5,0)</f>
        <v>0</v>
      </c>
      <c r="I5" s="13">
        <f>C5*D5</f>
        <v>0</v>
      </c>
    </row>
    <row r="6" spans="2:9" x14ac:dyDescent="0.25">
      <c r="B6" s="9">
        <v>3</v>
      </c>
      <c r="C6" s="10">
        <f>'[17]Estimasi NPHR'!C6</f>
        <v>4294.3159864357867</v>
      </c>
      <c r="D6" s="11">
        <f>'[17]Estimasi NPHR'!D6</f>
        <v>0</v>
      </c>
      <c r="E6" s="12">
        <f>'[17]Coal Blend'!BV39</f>
        <v>0.71666666666666679</v>
      </c>
      <c r="F6" s="12">
        <f>1-E6</f>
        <v>0.28333333333333321</v>
      </c>
      <c r="G6" s="13">
        <f>_xlfn.IFNA(E6*D6,0)</f>
        <v>0</v>
      </c>
      <c r="H6" s="13">
        <f>_xlfn.IFNA(F6*D6,0)</f>
        <v>0</v>
      </c>
      <c r="I6" s="13">
        <f>C6*D6</f>
        <v>0</v>
      </c>
    </row>
    <row r="7" spans="2:9" x14ac:dyDescent="0.25">
      <c r="B7" s="9">
        <v>4</v>
      </c>
      <c r="C7" s="10">
        <f>'[17]Estimasi NPHR'!C7</f>
        <v>4351.3813183881066</v>
      </c>
      <c r="D7" s="11">
        <f>'[17]Estimasi NPHR'!D7</f>
        <v>0</v>
      </c>
      <c r="E7" s="12">
        <f>'[17]Coal Blend'!BV55</f>
        <v>0.95833333333333337</v>
      </c>
      <c r="F7" s="12">
        <f>1-E7</f>
        <v>4.166666666666663E-2</v>
      </c>
      <c r="G7" s="13">
        <f>_xlfn.IFNA(E7*D7,0)</f>
        <v>0</v>
      </c>
      <c r="H7" s="13">
        <f>_xlfn.IFNA(F7*D7,0)</f>
        <v>0</v>
      </c>
      <c r="I7" s="13">
        <f>C7*D7</f>
        <v>0</v>
      </c>
    </row>
    <row r="8" spans="2:9" x14ac:dyDescent="0.25">
      <c r="B8" s="9">
        <v>5</v>
      </c>
      <c r="C8" s="10">
        <f>'[17]Estimasi NPHR'!C8</f>
        <v>4139.0521617543864</v>
      </c>
      <c r="D8" s="11">
        <f>'[17]Estimasi NPHR'!D8</f>
        <v>0</v>
      </c>
      <c r="E8" s="12">
        <f>'[17]Coal Blend'!BV71</f>
        <v>0.25</v>
      </c>
      <c r="F8" s="12">
        <f>1-E8</f>
        <v>0.75</v>
      </c>
      <c r="G8" s="13">
        <f>_xlfn.IFNA(E8*D8,0)</f>
        <v>0</v>
      </c>
      <c r="H8" s="13">
        <f>_xlfn.IFNA(F8*D8,0)</f>
        <v>0</v>
      </c>
      <c r="I8" s="13">
        <f>C8*D8</f>
        <v>0</v>
      </c>
    </row>
    <row r="9" spans="2:9" x14ac:dyDescent="0.25">
      <c r="B9" s="9">
        <v>6</v>
      </c>
      <c r="C9" s="10">
        <f>'[17]Estimasi NPHR'!C9</f>
        <v>4287.9663186625357</v>
      </c>
      <c r="D9" s="11">
        <f>'[17]Estimasi NPHR'!D9</f>
        <v>0</v>
      </c>
      <c r="E9" s="12">
        <f>'[17]Coal Blend'!BV87</f>
        <v>0.58333333333333337</v>
      </c>
      <c r="F9" s="12">
        <f>1-E9</f>
        <v>0.41666666666666663</v>
      </c>
      <c r="G9" s="13">
        <f>_xlfn.IFNA(E9*D9,0)</f>
        <v>0</v>
      </c>
      <c r="H9" s="13">
        <f>_xlfn.IFNA(F9*D9,0)</f>
        <v>0</v>
      </c>
      <c r="I9" s="13">
        <f>C9*D9</f>
        <v>0</v>
      </c>
    </row>
    <row r="10" spans="2:9" x14ac:dyDescent="0.25">
      <c r="B10" s="9">
        <v>7</v>
      </c>
      <c r="C10" s="10">
        <f>'[17]Estimasi NPHR'!C10</f>
        <v>4276.504753977063</v>
      </c>
      <c r="D10" s="11">
        <f>'[17]Estimasi NPHR'!D10</f>
        <v>0</v>
      </c>
      <c r="E10" s="12">
        <f>'[17]Coal Blend'!BV103</f>
        <v>0.83333333333333337</v>
      </c>
      <c r="F10" s="12">
        <f>1-E10</f>
        <v>0.16666666666666663</v>
      </c>
      <c r="G10" s="13">
        <f>_xlfn.IFNA(E10*D10,0)</f>
        <v>0</v>
      </c>
      <c r="H10" s="13">
        <f>_xlfn.IFNA(F10*D10,0)</f>
        <v>0</v>
      </c>
      <c r="I10" s="13">
        <f>C10*D10</f>
        <v>0</v>
      </c>
    </row>
    <row r="11" spans="2:9" x14ac:dyDescent="0.25">
      <c r="B11" s="9">
        <v>8</v>
      </c>
      <c r="C11" s="10">
        <f>'[17]Estimasi NPHR'!C11</f>
        <v>4298.7124606060606</v>
      </c>
      <c r="D11" s="11">
        <f>'[17]Estimasi NPHR'!D11</f>
        <v>0</v>
      </c>
      <c r="E11" s="12">
        <f>'[17]Coal Blend'!BV119</f>
        <v>0.8666666666666667</v>
      </c>
      <c r="F11" s="12">
        <f>1-E11</f>
        <v>0.1333333333333333</v>
      </c>
      <c r="G11" s="13">
        <f>_xlfn.IFNA(E11*D11,0)</f>
        <v>0</v>
      </c>
      <c r="H11" s="13">
        <f>_xlfn.IFNA(F11*D11,0)</f>
        <v>0</v>
      </c>
      <c r="I11" s="13">
        <f>C11*D11</f>
        <v>0</v>
      </c>
    </row>
    <row r="12" spans="2:9" x14ac:dyDescent="0.25">
      <c r="B12" s="9">
        <v>9</v>
      </c>
      <c r="C12" s="10">
        <f>'[17]Estimasi NPHR'!C12</f>
        <v>4284.362543469786</v>
      </c>
      <c r="D12" s="11">
        <f>'[17]Estimasi NPHR'!D12</f>
        <v>0</v>
      </c>
      <c r="E12" s="12">
        <f>'[17]Coal Blend'!BV135</f>
        <v>0.90833333333333333</v>
      </c>
      <c r="F12" s="12">
        <f>1-E12</f>
        <v>9.1666666666666674E-2</v>
      </c>
      <c r="G12" s="13">
        <f>_xlfn.IFNA(E12*D12,0)</f>
        <v>0</v>
      </c>
      <c r="H12" s="13">
        <f>_xlfn.IFNA(F12*D12,0)</f>
        <v>0</v>
      </c>
      <c r="I12" s="13">
        <f>C12*D12</f>
        <v>0</v>
      </c>
    </row>
    <row r="13" spans="2:9" x14ac:dyDescent="0.25">
      <c r="B13" s="9">
        <v>10</v>
      </c>
      <c r="C13" s="10">
        <f>'[17]Estimasi NPHR'!C13</f>
        <v>4253.2344028536736</v>
      </c>
      <c r="D13" s="11">
        <f>'[17]Estimasi NPHR'!D13</f>
        <v>0</v>
      </c>
      <c r="E13" s="12">
        <f>'[17]Coal Blend'!BV151</f>
        <v>0.53333333333333333</v>
      </c>
      <c r="F13" s="12">
        <f>1-E13</f>
        <v>0.46666666666666667</v>
      </c>
      <c r="G13" s="13">
        <f>_xlfn.IFNA(E13*D13,0)</f>
        <v>0</v>
      </c>
      <c r="H13" s="13">
        <f>_xlfn.IFNA(F13*D13,0)</f>
        <v>0</v>
      </c>
      <c r="I13" s="13">
        <f>C13*D13</f>
        <v>0</v>
      </c>
    </row>
    <row r="14" spans="2:9" x14ac:dyDescent="0.25">
      <c r="B14" s="9">
        <v>11</v>
      </c>
      <c r="C14" s="10">
        <f>'[17]Estimasi NPHR'!C14</f>
        <v>4385.1510925925932</v>
      </c>
      <c r="D14" s="11">
        <f>'[17]Estimasi NPHR'!D14</f>
        <v>0</v>
      </c>
      <c r="E14" s="12">
        <f>'[17]Coal Blend'!BV167</f>
        <v>0.81666666666666676</v>
      </c>
      <c r="F14" s="12">
        <f>1-E14</f>
        <v>0.18333333333333324</v>
      </c>
      <c r="G14" s="13">
        <f>_xlfn.IFNA(E14*D14,0)</f>
        <v>0</v>
      </c>
      <c r="H14" s="13">
        <f>_xlfn.IFNA(F14*D14,0)</f>
        <v>0</v>
      </c>
      <c r="I14" s="13">
        <f>C14*D14</f>
        <v>0</v>
      </c>
    </row>
    <row r="15" spans="2:9" x14ac:dyDescent="0.25">
      <c r="B15" s="9">
        <v>12</v>
      </c>
      <c r="C15" s="10">
        <f>'[17]Estimasi NPHR'!C15</f>
        <v>4229.064375959596</v>
      </c>
      <c r="D15" s="11">
        <f>'[17]Estimasi NPHR'!D15</f>
        <v>0</v>
      </c>
      <c r="E15" s="12">
        <f>'[17]Coal Blend'!BV183</f>
        <v>0.54999999999999993</v>
      </c>
      <c r="F15" s="12">
        <f>1-E15</f>
        <v>0.45000000000000007</v>
      </c>
      <c r="G15" s="13">
        <f>_xlfn.IFNA(E15*D15,0)</f>
        <v>0</v>
      </c>
      <c r="H15" s="13">
        <f>_xlfn.IFNA(F15*D15,0)</f>
        <v>0</v>
      </c>
      <c r="I15" s="13">
        <f>C15*D15</f>
        <v>0</v>
      </c>
    </row>
    <row r="16" spans="2:9" x14ac:dyDescent="0.25">
      <c r="B16" s="9">
        <v>13</v>
      </c>
      <c r="C16" s="10">
        <f>'[17]Estimasi NPHR'!C16</f>
        <v>4289.6677448337823</v>
      </c>
      <c r="D16" s="11">
        <f>'[17]Estimasi NPHR'!D16</f>
        <v>0</v>
      </c>
      <c r="E16" s="12">
        <f>'[17]Coal Blend'!BV199</f>
        <v>0.63333333333333341</v>
      </c>
      <c r="F16" s="12">
        <f>1-E16</f>
        <v>0.36666666666666659</v>
      </c>
      <c r="G16" s="13">
        <f>_xlfn.IFNA(E16*D16,0)</f>
        <v>0</v>
      </c>
      <c r="H16" s="13">
        <f>_xlfn.IFNA(F16*D16,0)</f>
        <v>0</v>
      </c>
      <c r="I16" s="13">
        <f>C16*D16</f>
        <v>0</v>
      </c>
    </row>
    <row r="17" spans="2:9" x14ac:dyDescent="0.25">
      <c r="B17" s="9">
        <v>14</v>
      </c>
      <c r="C17" s="10">
        <f>'[17]Estimasi NPHR'!C17</f>
        <v>4203.9509204318083</v>
      </c>
      <c r="D17" s="11">
        <f>'[17]Estimasi NPHR'!D17</f>
        <v>0</v>
      </c>
      <c r="E17" s="12">
        <f>'[17]Coal Blend'!BV215</f>
        <v>0.46666666666666662</v>
      </c>
      <c r="F17" s="12">
        <f>1-E17</f>
        <v>0.53333333333333344</v>
      </c>
      <c r="G17" s="13">
        <f>_xlfn.IFNA(E17*D17,0)</f>
        <v>0</v>
      </c>
      <c r="H17" s="13">
        <f>_xlfn.IFNA(F17*D17,0)</f>
        <v>0</v>
      </c>
      <c r="I17" s="13">
        <f>C17*D17</f>
        <v>0</v>
      </c>
    </row>
    <row r="18" spans="2:9" x14ac:dyDescent="0.25">
      <c r="B18" s="9">
        <v>15</v>
      </c>
      <c r="C18" s="10">
        <f>'[17]Estimasi NPHR'!C18</f>
        <v>4155.9278528637869</v>
      </c>
      <c r="D18" s="11">
        <f>'[17]Estimasi NPHR'!D18</f>
        <v>0</v>
      </c>
      <c r="E18" s="12">
        <f>'[17]Coal Blend'!BV231</f>
        <v>0.45</v>
      </c>
      <c r="F18" s="12">
        <f>1-E18</f>
        <v>0.55000000000000004</v>
      </c>
      <c r="G18" s="13">
        <f>_xlfn.IFNA(E18*D18,0)</f>
        <v>0</v>
      </c>
      <c r="H18" s="13">
        <f>_xlfn.IFNA(F18*D18,0)</f>
        <v>0</v>
      </c>
      <c r="I18" s="13">
        <f>C18*D18</f>
        <v>0</v>
      </c>
    </row>
    <row r="19" spans="2:9" x14ac:dyDescent="0.25">
      <c r="B19" s="9">
        <v>16</v>
      </c>
      <c r="C19" s="10">
        <f>'[17]Estimasi NPHR'!C19</f>
        <v>4242.020306410257</v>
      </c>
      <c r="D19" s="11">
        <f>'[17]Estimasi NPHR'!D19</f>
        <v>0</v>
      </c>
      <c r="E19" s="12">
        <f>'[17]Coal Blend'!BV247</f>
        <v>0.50833333333333341</v>
      </c>
      <c r="F19" s="12">
        <f>1-E19</f>
        <v>0.49166666666666659</v>
      </c>
      <c r="G19" s="13">
        <f>_xlfn.IFNA(E19*D19,0)</f>
        <v>0</v>
      </c>
      <c r="H19" s="13">
        <f>_xlfn.IFNA(F19*D19,0)</f>
        <v>0</v>
      </c>
      <c r="I19" s="13">
        <f>C19*D19</f>
        <v>0</v>
      </c>
    </row>
    <row r="20" spans="2:9" x14ac:dyDescent="0.25">
      <c r="B20" s="9">
        <v>17</v>
      </c>
      <c r="C20" s="10">
        <f>'[17]Estimasi NPHR'!C20</f>
        <v>4206.5946993464049</v>
      </c>
      <c r="D20" s="11">
        <f>'[17]Estimasi NPHR'!D20</f>
        <v>0</v>
      </c>
      <c r="E20" s="12">
        <f>'[17]Coal Blend'!BV263</f>
        <v>0.54166666666666663</v>
      </c>
      <c r="F20" s="12">
        <f>1-E20</f>
        <v>0.45833333333333337</v>
      </c>
      <c r="G20" s="13">
        <f>_xlfn.IFNA(E20*D20,0)</f>
        <v>0</v>
      </c>
      <c r="H20" s="13">
        <f>_xlfn.IFNA(F20*D20,0)</f>
        <v>0</v>
      </c>
      <c r="I20" s="13">
        <f>C20*D20</f>
        <v>0</v>
      </c>
    </row>
    <row r="21" spans="2:9" x14ac:dyDescent="0.25">
      <c r="B21" s="9">
        <v>18</v>
      </c>
      <c r="C21" s="10">
        <f>'[17]Estimasi NPHR'!C21</f>
        <v>4337.8232758620688</v>
      </c>
      <c r="D21" s="11">
        <f>'[17]Estimasi NPHR'!D21</f>
        <v>0</v>
      </c>
      <c r="E21" s="12">
        <f>'[17]Coal Blend'!BV279</f>
        <v>0.66666666666666663</v>
      </c>
      <c r="F21" s="12">
        <f>1-E21</f>
        <v>0.33333333333333337</v>
      </c>
      <c r="G21" s="13">
        <f>_xlfn.IFNA(E21*D21,0)</f>
        <v>0</v>
      </c>
      <c r="H21" s="13">
        <f>_xlfn.IFNA(F21*D21,0)</f>
        <v>0</v>
      </c>
      <c r="I21" s="13">
        <f>C21*D21</f>
        <v>0</v>
      </c>
    </row>
    <row r="22" spans="2:9" x14ac:dyDescent="0.25">
      <c r="B22" s="9">
        <v>19</v>
      </c>
      <c r="C22" s="10">
        <f>'[17]Estimasi NPHR'!C22</f>
        <v>4192.8269305962849</v>
      </c>
      <c r="D22" s="11">
        <f>'[17]Estimasi NPHR'!D22</f>
        <v>0</v>
      </c>
      <c r="E22" s="12">
        <f>'[17]Coal Blend'!BV295</f>
        <v>0.45</v>
      </c>
      <c r="F22" s="12">
        <f>1-E22</f>
        <v>0.55000000000000004</v>
      </c>
      <c r="G22" s="13">
        <f>_xlfn.IFNA(E22*D22,0)</f>
        <v>0</v>
      </c>
      <c r="H22" s="13">
        <f>_xlfn.IFNA(F22*D22,0)</f>
        <v>0</v>
      </c>
      <c r="I22" s="13">
        <f>C22*D22</f>
        <v>0</v>
      </c>
    </row>
    <row r="23" spans="2:9" x14ac:dyDescent="0.25">
      <c r="B23" s="9">
        <v>20</v>
      </c>
      <c r="C23" s="10">
        <f>'[17]Estimasi NPHR'!C23</f>
        <v>4220.8056144067796</v>
      </c>
      <c r="D23" s="11">
        <f>'[17]Estimasi NPHR'!D23</f>
        <v>0</v>
      </c>
      <c r="E23" s="12">
        <f>'[17]Coal Blend'!BV311</f>
        <v>0.41666666666666669</v>
      </c>
      <c r="F23" s="12">
        <f>1-E23</f>
        <v>0.58333333333333326</v>
      </c>
      <c r="G23" s="13">
        <f>_xlfn.IFNA(E23*D23,0)</f>
        <v>0</v>
      </c>
      <c r="H23" s="13">
        <f>_xlfn.IFNA(F23*D23,0)</f>
        <v>0</v>
      </c>
      <c r="I23" s="13">
        <f>C23*D23</f>
        <v>0</v>
      </c>
    </row>
    <row r="24" spans="2:9" x14ac:dyDescent="0.25">
      <c r="B24" s="9">
        <v>21</v>
      </c>
      <c r="C24" s="10">
        <f>'[17]Estimasi NPHR'!C24</f>
        <v>4298.2433227513229</v>
      </c>
      <c r="D24" s="11">
        <f>'[17]Estimasi NPHR'!D24</f>
        <v>0</v>
      </c>
      <c r="E24" s="12">
        <f>'[17]Coal Blend'!BV327</f>
        <v>0.70000000000000007</v>
      </c>
      <c r="F24" s="12">
        <f>1-E24</f>
        <v>0.29999999999999993</v>
      </c>
      <c r="G24" s="13">
        <f>_xlfn.IFNA(E24*D24,0)</f>
        <v>0</v>
      </c>
      <c r="H24" s="13">
        <f>_xlfn.IFNA(F24*D24,0)</f>
        <v>0</v>
      </c>
      <c r="I24" s="13">
        <f>C24*D24</f>
        <v>0</v>
      </c>
    </row>
    <row r="25" spans="2:9" x14ac:dyDescent="0.25">
      <c r="B25" s="9">
        <v>22</v>
      </c>
      <c r="C25" s="10">
        <f>'[17]Estimasi NPHR'!C25</f>
        <v>4315.7227128271861</v>
      </c>
      <c r="D25" s="11">
        <f>'[17]Estimasi NPHR'!D25</f>
        <v>0</v>
      </c>
      <c r="E25" s="12">
        <f>'[17]Coal Blend'!BV343</f>
        <v>0.64166666666666672</v>
      </c>
      <c r="F25" s="12">
        <f>1-E25</f>
        <v>0.35833333333333328</v>
      </c>
      <c r="G25" s="13">
        <f>_xlfn.IFNA(E25*D25,0)</f>
        <v>0</v>
      </c>
      <c r="H25" s="13">
        <f>_xlfn.IFNA(F25*D25,0)</f>
        <v>0</v>
      </c>
      <c r="I25" s="13">
        <f>C25*D25</f>
        <v>0</v>
      </c>
    </row>
    <row r="26" spans="2:9" x14ac:dyDescent="0.25">
      <c r="B26" s="9">
        <v>23</v>
      </c>
      <c r="C26" s="10">
        <f>'[17]Estimasi NPHR'!C26</f>
        <v>4247.1529734724945</v>
      </c>
      <c r="D26" s="11">
        <f>'[17]Estimasi NPHR'!D26</f>
        <v>0</v>
      </c>
      <c r="E26" s="12">
        <f>'[17]Coal Blend'!BV359</f>
        <v>0.45833333333333331</v>
      </c>
      <c r="F26" s="12">
        <f>1-E26</f>
        <v>0.54166666666666674</v>
      </c>
      <c r="G26" s="13">
        <f>_xlfn.IFNA(E26*D26,0)</f>
        <v>0</v>
      </c>
      <c r="H26" s="13">
        <f>_xlfn.IFNA(F26*D26,0)</f>
        <v>0</v>
      </c>
      <c r="I26" s="13">
        <f>C26*D26</f>
        <v>0</v>
      </c>
    </row>
    <row r="27" spans="2:9" x14ac:dyDescent="0.25">
      <c r="B27" s="9">
        <v>24</v>
      </c>
      <c r="C27" s="10">
        <f>'[17]Estimasi NPHR'!C27</f>
        <v>4262.7660573042776</v>
      </c>
      <c r="D27" s="11">
        <f>'[17]Estimasi NPHR'!D27</f>
        <v>0</v>
      </c>
      <c r="E27" s="12">
        <f>'[17]Coal Blend'!BV375</f>
        <v>0.46666666666666673</v>
      </c>
      <c r="F27" s="12">
        <f>1-E27</f>
        <v>0.53333333333333321</v>
      </c>
      <c r="G27" s="13">
        <f>_xlfn.IFNA(E27*D27,0)</f>
        <v>0</v>
      </c>
      <c r="H27" s="13">
        <f>_xlfn.IFNA(F27*D27,0)</f>
        <v>0</v>
      </c>
      <c r="I27" s="13">
        <f>C27*D27</f>
        <v>0</v>
      </c>
    </row>
    <row r="28" spans="2:9" x14ac:dyDescent="0.25">
      <c r="B28" s="9">
        <v>25</v>
      </c>
      <c r="C28" s="10">
        <f>'[17]Estimasi NPHR'!C28</f>
        <v>4241.5753692564749</v>
      </c>
      <c r="D28" s="11">
        <f>'[17]Estimasi NPHR'!D28</f>
        <v>0</v>
      </c>
      <c r="E28" s="12">
        <f>'[17]Coal Blend'!BV391</f>
        <v>0.44999999999999996</v>
      </c>
      <c r="F28" s="12">
        <f>1-E28</f>
        <v>0.55000000000000004</v>
      </c>
      <c r="G28" s="13">
        <f>_xlfn.IFNA(E28*D28,0)</f>
        <v>0</v>
      </c>
      <c r="H28" s="13">
        <f>_xlfn.IFNA(F28*D28,0)</f>
        <v>0</v>
      </c>
      <c r="I28" s="13">
        <f>C28*D28</f>
        <v>0</v>
      </c>
    </row>
    <row r="29" spans="2:9" x14ac:dyDescent="0.25">
      <c r="B29" s="9">
        <v>26</v>
      </c>
      <c r="C29" s="10">
        <f>'[17]Estimasi NPHR'!C29</f>
        <v>4320.4892794918333</v>
      </c>
      <c r="D29" s="11">
        <f>'[17]Estimasi NPHR'!D29</f>
        <v>0</v>
      </c>
      <c r="E29" s="12">
        <f>'[17]Coal Blend'!BV407</f>
        <v>0.57499999999999996</v>
      </c>
      <c r="F29" s="12">
        <f>1-E29</f>
        <v>0.42500000000000004</v>
      </c>
      <c r="G29" s="13">
        <f>_xlfn.IFNA(E29*D29,0)</f>
        <v>0</v>
      </c>
      <c r="H29" s="13">
        <f>_xlfn.IFNA(F29*D29,0)</f>
        <v>0</v>
      </c>
      <c r="I29" s="13">
        <f>C29*D29</f>
        <v>0</v>
      </c>
    </row>
    <row r="30" spans="2:9" x14ac:dyDescent="0.25">
      <c r="B30" s="9">
        <v>27</v>
      </c>
      <c r="C30" s="10">
        <f>'[17]Estimasi NPHR'!C30</f>
        <v>4387.0578913043491</v>
      </c>
      <c r="D30" s="11">
        <f>'[17]Estimasi NPHR'!D30</f>
        <v>0</v>
      </c>
      <c r="E30" s="12">
        <f>'[17]Coal Blend'!BV423</f>
        <v>0.5</v>
      </c>
      <c r="F30" s="12">
        <f>1-E30</f>
        <v>0.5</v>
      </c>
      <c r="G30" s="13">
        <f>_xlfn.IFNA(E30*D30,0)</f>
        <v>0</v>
      </c>
      <c r="H30" s="13">
        <f>_xlfn.IFNA(F30*D30,0)</f>
        <v>0</v>
      </c>
      <c r="I30" s="13">
        <f>C30*D30</f>
        <v>0</v>
      </c>
    </row>
    <row r="31" spans="2:9" x14ac:dyDescent="0.25">
      <c r="B31" s="9">
        <v>28</v>
      </c>
      <c r="C31" s="10">
        <f>'[17]Estimasi NPHR'!C31</f>
        <v>4221.6414596273289</v>
      </c>
      <c r="D31" s="11">
        <f>'[17]Estimasi NPHR'!D31</f>
        <v>0</v>
      </c>
      <c r="E31" s="12">
        <f>'[17]Coal Blend'!BV439</f>
        <v>0.38333333333333336</v>
      </c>
      <c r="F31" s="12">
        <f>1-E31</f>
        <v>0.6166666666666667</v>
      </c>
      <c r="G31" s="13">
        <f>_xlfn.IFNA(E31*D31,0)</f>
        <v>0</v>
      </c>
      <c r="H31" s="13">
        <f>_xlfn.IFNA(F31*D31,0)</f>
        <v>0</v>
      </c>
      <c r="I31" s="13">
        <f>C31*D31</f>
        <v>0</v>
      </c>
    </row>
    <row r="32" spans="2:9" x14ac:dyDescent="0.25">
      <c r="B32" s="9">
        <v>29</v>
      </c>
      <c r="C32" s="10" t="str">
        <f>'[17]Estimasi NPHR'!C32</f>
        <v>0</v>
      </c>
      <c r="D32" s="11">
        <f>'[17]Estimasi NPHR'!D32</f>
        <v>0</v>
      </c>
      <c r="E32" s="12">
        <f>'[17]Coal Blend'!BV455</f>
        <v>0</v>
      </c>
      <c r="F32" s="12">
        <f>1-E32</f>
        <v>1</v>
      </c>
      <c r="G32" s="13">
        <f>_xlfn.IFNA(E32*D32,0)</f>
        <v>0</v>
      </c>
      <c r="H32" s="13">
        <f>_xlfn.IFNA(F32*D32,0)</f>
        <v>0</v>
      </c>
      <c r="I32" s="13">
        <f>C32*D32</f>
        <v>0</v>
      </c>
    </row>
    <row r="33" spans="2:9" ht="15.75" thickBot="1" x14ac:dyDescent="0.3">
      <c r="B33" s="9">
        <v>30</v>
      </c>
      <c r="C33" s="10" t="str">
        <f>'[17]Estimasi NPHR'!C33</f>
        <v>0</v>
      </c>
      <c r="D33" s="11">
        <f>'[17]Estimasi NPHR'!D33</f>
        <v>0</v>
      </c>
      <c r="E33" s="12">
        <f>'[17]Coal Blend'!BV471</f>
        <v>0</v>
      </c>
      <c r="F33" s="12">
        <f>1-E33</f>
        <v>1</v>
      </c>
      <c r="G33" s="13">
        <f>_xlfn.IFNA(E33*D33,0)</f>
        <v>0</v>
      </c>
      <c r="H33" s="13">
        <f>_xlfn.IFNA(F33*D33,0)</f>
        <v>0</v>
      </c>
      <c r="I33" s="13">
        <f>C33*D33</f>
        <v>0</v>
      </c>
    </row>
    <row r="34" spans="2:9" ht="15.75" thickBot="1" x14ac:dyDescent="0.3">
      <c r="B34" s="14"/>
      <c r="C34" s="15">
        <f>IF(D34=0,0,I34/D34)</f>
        <v>0</v>
      </c>
      <c r="D34" s="16">
        <f>SUM(D4:D33)</f>
        <v>0</v>
      </c>
      <c r="E34" s="16"/>
      <c r="F34" s="16"/>
      <c r="G34" s="16">
        <f>SUM(G4:G33)</f>
        <v>0</v>
      </c>
      <c r="H34" s="16">
        <f>SUM(H4:H33)</f>
        <v>0</v>
      </c>
      <c r="I34" s="17">
        <f>SUM(I4:I33)</f>
        <v>0</v>
      </c>
    </row>
    <row r="35" spans="2:9" x14ac:dyDescent="0.25">
      <c r="D35" s="18">
        <f>MAX(D4:D33)</f>
        <v>0</v>
      </c>
    </row>
  </sheetData>
  <mergeCells count="2">
    <mergeCell ref="B2:B3"/>
    <mergeCell ref="C2:I2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F3345-0451-45A7-997C-A134EA3FFCB3}">
  <dimension ref="B1:I35"/>
  <sheetViews>
    <sheetView workbookViewId="0">
      <selection activeCell="P35" sqref="P35"/>
    </sheetView>
  </sheetViews>
  <sheetFormatPr defaultRowHeight="15" x14ac:dyDescent="0.25"/>
  <cols>
    <col min="2" max="2" width="8.5703125" bestFit="1" customWidth="1"/>
    <col min="3" max="3" width="9.5703125" bestFit="1" customWidth="1"/>
    <col min="4" max="4" width="11.5703125" bestFit="1" customWidth="1"/>
    <col min="5" max="6" width="5.5703125" bestFit="1" customWidth="1"/>
    <col min="7" max="8" width="10.5703125" bestFit="1" customWidth="1"/>
    <col min="9" max="9" width="12.5703125" bestFit="1" customWidth="1"/>
  </cols>
  <sheetData>
    <row r="1" spans="2:9" ht="15.75" thickBot="1" x14ac:dyDescent="0.3"/>
    <row r="2" spans="2:9" ht="16.5" thickBot="1" x14ac:dyDescent="0.3">
      <c r="B2" s="1" t="s">
        <v>6</v>
      </c>
      <c r="C2" s="2" t="s">
        <v>5</v>
      </c>
      <c r="D2" s="3"/>
      <c r="E2" s="3"/>
      <c r="F2" s="3"/>
      <c r="G2" s="3"/>
      <c r="H2" s="3"/>
      <c r="I2" s="4"/>
    </row>
    <row r="3" spans="2:9" ht="16.5" thickBot="1" x14ac:dyDescent="0.3">
      <c r="B3" s="5"/>
      <c r="C3" s="6" t="s">
        <v>4</v>
      </c>
      <c r="D3" s="7" t="s">
        <v>0</v>
      </c>
      <c r="E3" s="8" t="s">
        <v>1</v>
      </c>
      <c r="F3" s="8" t="s">
        <v>2</v>
      </c>
      <c r="G3" s="8" t="s">
        <v>1</v>
      </c>
      <c r="H3" s="8" t="s">
        <v>2</v>
      </c>
      <c r="I3" s="8" t="s">
        <v>3</v>
      </c>
    </row>
    <row r="4" spans="2:9" x14ac:dyDescent="0.25">
      <c r="B4" s="9">
        <v>1</v>
      </c>
      <c r="C4" s="10">
        <f>'[18]Estimasi NPHR'!C4</f>
        <v>4194.4378579763988</v>
      </c>
      <c r="D4" s="11">
        <f>'[18]Estimasi NPHR'!D4</f>
        <v>0</v>
      </c>
      <c r="E4" s="12">
        <f>'[18]Coal Blend'!BV7</f>
        <v>0.48333333333333339</v>
      </c>
      <c r="F4" s="12">
        <f>1-E4</f>
        <v>0.51666666666666661</v>
      </c>
      <c r="G4" s="13">
        <f>_xlfn.IFNA(E4*D4,0)</f>
        <v>0</v>
      </c>
      <c r="H4" s="13">
        <f>_xlfn.IFNA(F4*D4,0)</f>
        <v>0</v>
      </c>
      <c r="I4" s="13">
        <f>C4*D4</f>
        <v>0</v>
      </c>
    </row>
    <row r="5" spans="2:9" x14ac:dyDescent="0.25">
      <c r="B5" s="9">
        <v>2</v>
      </c>
      <c r="C5" s="10">
        <f>'[18]Estimasi NPHR'!C5</f>
        <v>4240.5580444444449</v>
      </c>
      <c r="D5" s="11">
        <f>'[18]Estimasi NPHR'!D5</f>
        <v>0</v>
      </c>
      <c r="E5" s="12">
        <f>'[18]Coal Blend'!BV23</f>
        <v>0.47499999999999992</v>
      </c>
      <c r="F5" s="12">
        <f t="shared" ref="F5:F33" si="0">1-E5</f>
        <v>0.52500000000000013</v>
      </c>
      <c r="G5" s="13">
        <f t="shared" ref="G5:G33" si="1">_xlfn.IFNA(E5*D5,0)</f>
        <v>0</v>
      </c>
      <c r="H5" s="13">
        <f t="shared" ref="H5:H33" si="2">_xlfn.IFNA(F5*D5,0)</f>
        <v>0</v>
      </c>
      <c r="I5" s="13">
        <f t="shared" ref="I5:I33" si="3">C5*D5</f>
        <v>0</v>
      </c>
    </row>
    <row r="6" spans="2:9" x14ac:dyDescent="0.25">
      <c r="B6" s="9">
        <v>3</v>
      </c>
      <c r="C6" s="10">
        <f>'[18]Estimasi NPHR'!C6</f>
        <v>3981.9935897435898</v>
      </c>
      <c r="D6" s="11">
        <f>'[18]Estimasi NPHR'!D6</f>
        <v>0</v>
      </c>
      <c r="E6" s="12">
        <f>'[18]Coal Blend'!BV39</f>
        <v>0.5083333333333333</v>
      </c>
      <c r="F6" s="12">
        <f t="shared" si="0"/>
        <v>0.4916666666666667</v>
      </c>
      <c r="G6" s="13">
        <f t="shared" si="1"/>
        <v>0</v>
      </c>
      <c r="H6" s="13">
        <f t="shared" si="2"/>
        <v>0</v>
      </c>
      <c r="I6" s="13">
        <f t="shared" si="3"/>
        <v>0</v>
      </c>
    </row>
    <row r="7" spans="2:9" x14ac:dyDescent="0.25">
      <c r="B7" s="9">
        <v>4</v>
      </c>
      <c r="C7" s="10">
        <f>'[18]Estimasi NPHR'!C7</f>
        <v>4288.5181468165601</v>
      </c>
      <c r="D7" s="11">
        <f>'[18]Estimasi NPHR'!D7</f>
        <v>0</v>
      </c>
      <c r="E7" s="12">
        <f>'[18]Coal Blend'!BV55</f>
        <v>0.55833333333333324</v>
      </c>
      <c r="F7" s="12">
        <f t="shared" si="0"/>
        <v>0.44166666666666676</v>
      </c>
      <c r="G7" s="13">
        <f t="shared" si="1"/>
        <v>0</v>
      </c>
      <c r="H7" s="13">
        <f t="shared" si="2"/>
        <v>0</v>
      </c>
      <c r="I7" s="13">
        <f t="shared" si="3"/>
        <v>0</v>
      </c>
    </row>
    <row r="8" spans="2:9" x14ac:dyDescent="0.25">
      <c r="B8" s="9">
        <v>5</v>
      </c>
      <c r="C8" s="10">
        <f>'[18]Estimasi NPHR'!C8</f>
        <v>4397.2076799282841</v>
      </c>
      <c r="D8" s="11">
        <f>'[18]Estimasi NPHR'!D8</f>
        <v>0</v>
      </c>
      <c r="E8" s="12">
        <f>'[18]Coal Blend'!BV71</f>
        <v>0.65833333333333333</v>
      </c>
      <c r="F8" s="12">
        <f t="shared" si="0"/>
        <v>0.34166666666666667</v>
      </c>
      <c r="G8" s="13">
        <f t="shared" si="1"/>
        <v>0</v>
      </c>
      <c r="H8" s="13">
        <f t="shared" si="2"/>
        <v>0</v>
      </c>
      <c r="I8" s="13">
        <f t="shared" si="3"/>
        <v>0</v>
      </c>
    </row>
    <row r="9" spans="2:9" x14ac:dyDescent="0.25">
      <c r="B9" s="9">
        <v>6</v>
      </c>
      <c r="C9" s="10">
        <f>'[18]Estimasi NPHR'!C9</f>
        <v>4289.8931418350176</v>
      </c>
      <c r="D9" s="11">
        <f>'[18]Estimasi NPHR'!D9</f>
        <v>0</v>
      </c>
      <c r="E9" s="12">
        <f>'[18]Coal Blend'!BV87</f>
        <v>0.59166666666666667</v>
      </c>
      <c r="F9" s="12">
        <f t="shared" si="0"/>
        <v>0.40833333333333333</v>
      </c>
      <c r="G9" s="13">
        <f t="shared" si="1"/>
        <v>0</v>
      </c>
      <c r="H9" s="13">
        <f t="shared" si="2"/>
        <v>0</v>
      </c>
      <c r="I9" s="13">
        <f t="shared" si="3"/>
        <v>0</v>
      </c>
    </row>
    <row r="10" spans="2:9" x14ac:dyDescent="0.25">
      <c r="B10" s="9">
        <v>7</v>
      </c>
      <c r="C10" s="10">
        <f>'[18]Estimasi NPHR'!C10</f>
        <v>4392.5210393141933</v>
      </c>
      <c r="D10" s="11">
        <f>'[18]Estimasi NPHR'!D10</f>
        <v>0</v>
      </c>
      <c r="E10" s="12">
        <f>'[18]Coal Blend'!BV103</f>
        <v>0.60833333333333328</v>
      </c>
      <c r="F10" s="12">
        <f t="shared" si="0"/>
        <v>0.39166666666666672</v>
      </c>
      <c r="G10" s="13">
        <f t="shared" si="1"/>
        <v>0</v>
      </c>
      <c r="H10" s="13">
        <f t="shared" si="2"/>
        <v>0</v>
      </c>
      <c r="I10" s="13">
        <f t="shared" si="3"/>
        <v>0</v>
      </c>
    </row>
    <row r="11" spans="2:9" x14ac:dyDescent="0.25">
      <c r="B11" s="9">
        <v>8</v>
      </c>
      <c r="C11" s="10">
        <f>'[18]Estimasi NPHR'!C11</f>
        <v>4223.4444444444443</v>
      </c>
      <c r="D11" s="11">
        <f>'[18]Estimasi NPHR'!D11</f>
        <v>0</v>
      </c>
      <c r="E11" s="12">
        <f>'[18]Coal Blend'!BV119</f>
        <v>0.41666666666666669</v>
      </c>
      <c r="F11" s="12">
        <f t="shared" si="0"/>
        <v>0.58333333333333326</v>
      </c>
      <c r="G11" s="13">
        <f t="shared" si="1"/>
        <v>0</v>
      </c>
      <c r="H11" s="13">
        <f t="shared" si="2"/>
        <v>0</v>
      </c>
      <c r="I11" s="13">
        <f t="shared" si="3"/>
        <v>0</v>
      </c>
    </row>
    <row r="12" spans="2:9" x14ac:dyDescent="0.25">
      <c r="B12" s="9">
        <v>9</v>
      </c>
      <c r="C12" s="10">
        <f>'[18]Estimasi NPHR'!C12</f>
        <v>4154.3077529761904</v>
      </c>
      <c r="D12" s="11">
        <f>'[18]Estimasi NPHR'!D12</f>
        <v>0</v>
      </c>
      <c r="E12" s="12">
        <f>'[18]Coal Blend'!BV135</f>
        <v>0.39999999999999997</v>
      </c>
      <c r="F12" s="12">
        <f t="shared" si="0"/>
        <v>0.60000000000000009</v>
      </c>
      <c r="G12" s="13">
        <f t="shared" si="1"/>
        <v>0</v>
      </c>
      <c r="H12" s="13">
        <f t="shared" si="2"/>
        <v>0</v>
      </c>
      <c r="I12" s="13">
        <f t="shared" si="3"/>
        <v>0</v>
      </c>
    </row>
    <row r="13" spans="2:9" x14ac:dyDescent="0.25">
      <c r="B13" s="9">
        <v>10</v>
      </c>
      <c r="C13" s="10">
        <f>'[18]Estimasi NPHR'!C13</f>
        <v>4176.4806722689073</v>
      </c>
      <c r="D13" s="11">
        <f>'[18]Estimasi NPHR'!D13</f>
        <v>0</v>
      </c>
      <c r="E13" s="12">
        <f>'[18]Coal Blend'!BV151</f>
        <v>0.41666666666666669</v>
      </c>
      <c r="F13" s="12">
        <f t="shared" si="0"/>
        <v>0.58333333333333326</v>
      </c>
      <c r="G13" s="13">
        <f t="shared" si="1"/>
        <v>0</v>
      </c>
      <c r="H13" s="13">
        <f t="shared" si="2"/>
        <v>0</v>
      </c>
      <c r="I13" s="13">
        <f t="shared" si="3"/>
        <v>0</v>
      </c>
    </row>
    <row r="14" spans="2:9" x14ac:dyDescent="0.25">
      <c r="B14" s="9">
        <v>11</v>
      </c>
      <c r="C14" s="10">
        <f>'[18]Estimasi NPHR'!C14</f>
        <v>4084.6595617376297</v>
      </c>
      <c r="D14" s="11">
        <f>'[18]Estimasi NPHR'!D14</f>
        <v>0</v>
      </c>
      <c r="E14" s="12">
        <f>'[18]Coal Blend'!BV167</f>
        <v>0.42499999999999999</v>
      </c>
      <c r="F14" s="12">
        <f t="shared" si="0"/>
        <v>0.57499999999999996</v>
      </c>
      <c r="G14" s="13">
        <f t="shared" si="1"/>
        <v>0</v>
      </c>
      <c r="H14" s="13">
        <f t="shared" si="2"/>
        <v>0</v>
      </c>
      <c r="I14" s="13">
        <f t="shared" si="3"/>
        <v>0</v>
      </c>
    </row>
    <row r="15" spans="2:9" x14ac:dyDescent="0.25">
      <c r="B15" s="9">
        <v>12</v>
      </c>
      <c r="C15" s="10">
        <f>'[18]Estimasi NPHR'!C15</f>
        <v>4273.0999999999995</v>
      </c>
      <c r="D15" s="11">
        <f>'[18]Estimasi NPHR'!D15</f>
        <v>0</v>
      </c>
      <c r="E15" s="12">
        <f>'[18]Coal Blend'!BV183</f>
        <v>0.43333333333333335</v>
      </c>
      <c r="F15" s="12">
        <f t="shared" si="0"/>
        <v>0.56666666666666665</v>
      </c>
      <c r="G15" s="13">
        <f t="shared" si="1"/>
        <v>0</v>
      </c>
      <c r="H15" s="13">
        <f t="shared" si="2"/>
        <v>0</v>
      </c>
      <c r="I15" s="13">
        <f t="shared" si="3"/>
        <v>0</v>
      </c>
    </row>
    <row r="16" spans="2:9" x14ac:dyDescent="0.25">
      <c r="B16" s="9">
        <v>13</v>
      </c>
      <c r="C16" s="10">
        <f>'[18]Estimasi NPHR'!C16</f>
        <v>4360.1371212121212</v>
      </c>
      <c r="D16" s="11">
        <f>'[18]Estimasi NPHR'!D16</f>
        <v>0</v>
      </c>
      <c r="E16" s="12">
        <f>'[18]Coal Blend'!BV199</f>
        <v>0.61666666666666659</v>
      </c>
      <c r="F16" s="12">
        <f t="shared" si="0"/>
        <v>0.38333333333333341</v>
      </c>
      <c r="G16" s="13">
        <f t="shared" si="1"/>
        <v>0</v>
      </c>
      <c r="H16" s="13">
        <f t="shared" si="2"/>
        <v>0</v>
      </c>
      <c r="I16" s="13">
        <f t="shared" si="3"/>
        <v>0</v>
      </c>
    </row>
    <row r="17" spans="2:9" x14ac:dyDescent="0.25">
      <c r="B17" s="9">
        <v>14</v>
      </c>
      <c r="C17" s="10">
        <f>'[18]Estimasi NPHR'!C17</f>
        <v>4342.6902350877199</v>
      </c>
      <c r="D17" s="11">
        <f>'[18]Estimasi NPHR'!D17</f>
        <v>0</v>
      </c>
      <c r="E17" s="12">
        <f>'[18]Coal Blend'!BV215</f>
        <v>0.51666666666666672</v>
      </c>
      <c r="F17" s="12">
        <f t="shared" si="0"/>
        <v>0.48333333333333328</v>
      </c>
      <c r="G17" s="13">
        <f t="shared" si="1"/>
        <v>0</v>
      </c>
      <c r="H17" s="13">
        <f t="shared" si="2"/>
        <v>0</v>
      </c>
      <c r="I17" s="13">
        <f t="shared" si="3"/>
        <v>0</v>
      </c>
    </row>
    <row r="18" spans="2:9" x14ac:dyDescent="0.25">
      <c r="B18" s="9">
        <v>15</v>
      </c>
      <c r="C18" s="10">
        <f>'[18]Estimasi NPHR'!C18</f>
        <v>4293.5137777777782</v>
      </c>
      <c r="D18" s="11">
        <f>'[18]Estimasi NPHR'!D18</f>
        <v>0</v>
      </c>
      <c r="E18" s="12">
        <f>'[18]Coal Blend'!BV231</f>
        <v>0.52500000000000002</v>
      </c>
      <c r="F18" s="12">
        <f t="shared" si="0"/>
        <v>0.47499999999999998</v>
      </c>
      <c r="G18" s="13">
        <f t="shared" si="1"/>
        <v>0</v>
      </c>
      <c r="H18" s="13">
        <f t="shared" si="2"/>
        <v>0</v>
      </c>
      <c r="I18" s="13">
        <f t="shared" si="3"/>
        <v>0</v>
      </c>
    </row>
    <row r="19" spans="2:9" x14ac:dyDescent="0.25">
      <c r="B19" s="9">
        <v>16</v>
      </c>
      <c r="C19" s="10">
        <f>'[18]Estimasi NPHR'!C19</f>
        <v>4264.8760424954789</v>
      </c>
      <c r="D19" s="11">
        <f>'[18]Estimasi NPHR'!D19</f>
        <v>0</v>
      </c>
      <c r="E19" s="12">
        <f>'[18]Coal Blend'!BV247</f>
        <v>0.4916666666666667</v>
      </c>
      <c r="F19" s="12">
        <f t="shared" si="0"/>
        <v>0.5083333333333333</v>
      </c>
      <c r="G19" s="13">
        <f t="shared" si="1"/>
        <v>0</v>
      </c>
      <c r="H19" s="13">
        <f t="shared" si="2"/>
        <v>0</v>
      </c>
      <c r="I19" s="13">
        <f t="shared" si="3"/>
        <v>0</v>
      </c>
    </row>
    <row r="20" spans="2:9" x14ac:dyDescent="0.25">
      <c r="B20" s="9">
        <v>17</v>
      </c>
      <c r="C20" s="10">
        <f>'[18]Estimasi NPHR'!C20</f>
        <v>4277.8935897435895</v>
      </c>
      <c r="D20" s="11">
        <f>'[18]Estimasi NPHR'!D20</f>
        <v>0</v>
      </c>
      <c r="E20" s="12">
        <f>'[18]Coal Blend'!BV263</f>
        <v>0.53333333333333333</v>
      </c>
      <c r="F20" s="12">
        <f t="shared" si="0"/>
        <v>0.46666666666666667</v>
      </c>
      <c r="G20" s="13">
        <f t="shared" si="1"/>
        <v>0</v>
      </c>
      <c r="H20" s="13">
        <f t="shared" si="2"/>
        <v>0</v>
      </c>
      <c r="I20" s="13">
        <f t="shared" si="3"/>
        <v>0</v>
      </c>
    </row>
    <row r="21" spans="2:9" x14ac:dyDescent="0.25">
      <c r="B21" s="9">
        <v>18</v>
      </c>
      <c r="C21" s="10">
        <f>'[18]Estimasi NPHR'!C21</f>
        <v>4176.523080952381</v>
      </c>
      <c r="D21" s="11">
        <f>'[18]Estimasi NPHR'!D21</f>
        <v>0</v>
      </c>
      <c r="E21" s="12">
        <f>'[18]Coal Blend'!BV279</f>
        <v>0.3666666666666667</v>
      </c>
      <c r="F21" s="12">
        <f t="shared" si="0"/>
        <v>0.6333333333333333</v>
      </c>
      <c r="G21" s="13">
        <f t="shared" si="1"/>
        <v>0</v>
      </c>
      <c r="H21" s="13">
        <f t="shared" si="2"/>
        <v>0</v>
      </c>
      <c r="I21" s="13">
        <f t="shared" si="3"/>
        <v>0</v>
      </c>
    </row>
    <row r="22" spans="2:9" x14ac:dyDescent="0.25">
      <c r="B22" s="9">
        <v>19</v>
      </c>
      <c r="C22" s="10">
        <f>'[18]Estimasi NPHR'!C22</f>
        <v>4190.2499424242424</v>
      </c>
      <c r="D22" s="11">
        <f>'[18]Estimasi NPHR'!D22</f>
        <v>0</v>
      </c>
      <c r="E22" s="12">
        <f>'[18]Coal Blend'!BV295</f>
        <v>0.28333333333333338</v>
      </c>
      <c r="F22" s="12">
        <f t="shared" si="0"/>
        <v>0.71666666666666656</v>
      </c>
      <c r="G22" s="13">
        <f t="shared" si="1"/>
        <v>0</v>
      </c>
      <c r="H22" s="13">
        <f t="shared" si="2"/>
        <v>0</v>
      </c>
      <c r="I22" s="13">
        <f t="shared" si="3"/>
        <v>0</v>
      </c>
    </row>
    <row r="23" spans="2:9" x14ac:dyDescent="0.25">
      <c r="B23" s="9">
        <v>20</v>
      </c>
      <c r="C23" s="10">
        <f>'[18]Estimasi NPHR'!C23</f>
        <v>4313.4333333333334</v>
      </c>
      <c r="D23" s="11">
        <f>'[18]Estimasi NPHR'!D23</f>
        <v>0</v>
      </c>
      <c r="E23" s="12">
        <f>'[18]Coal Blend'!BV311</f>
        <v>0.56666666666666676</v>
      </c>
      <c r="F23" s="12">
        <f t="shared" si="0"/>
        <v>0.43333333333333324</v>
      </c>
      <c r="G23" s="13">
        <f t="shared" si="1"/>
        <v>0</v>
      </c>
      <c r="H23" s="13">
        <f t="shared" si="2"/>
        <v>0</v>
      </c>
      <c r="I23" s="13">
        <f t="shared" si="3"/>
        <v>0</v>
      </c>
    </row>
    <row r="24" spans="2:9" x14ac:dyDescent="0.25">
      <c r="B24" s="9">
        <v>21</v>
      </c>
      <c r="C24" s="10">
        <f>'[18]Estimasi NPHR'!C24</f>
        <v>4292</v>
      </c>
      <c r="D24" s="11">
        <f>'[18]Estimasi NPHR'!D24</f>
        <v>0</v>
      </c>
      <c r="E24" s="12">
        <f>'[18]Coal Blend'!BV327</f>
        <v>0.6</v>
      </c>
      <c r="F24" s="12">
        <f t="shared" si="0"/>
        <v>0.4</v>
      </c>
      <c r="G24" s="13">
        <f t="shared" si="1"/>
        <v>0</v>
      </c>
      <c r="H24" s="13">
        <f t="shared" si="2"/>
        <v>0</v>
      </c>
      <c r="I24" s="13">
        <f t="shared" si="3"/>
        <v>0</v>
      </c>
    </row>
    <row r="25" spans="2:9" x14ac:dyDescent="0.25">
      <c r="B25" s="9">
        <v>22</v>
      </c>
      <c r="C25" s="10">
        <f>'[18]Estimasi NPHR'!C25</f>
        <v>4221.1446773049647</v>
      </c>
      <c r="D25" s="11">
        <f>'[18]Estimasi NPHR'!D25</f>
        <v>0</v>
      </c>
      <c r="E25" s="12">
        <f>'[18]Coal Blend'!BV343</f>
        <v>0.46666666666666673</v>
      </c>
      <c r="F25" s="12">
        <f t="shared" si="0"/>
        <v>0.53333333333333321</v>
      </c>
      <c r="G25" s="13">
        <f t="shared" si="1"/>
        <v>0</v>
      </c>
      <c r="H25" s="13">
        <f t="shared" si="2"/>
        <v>0</v>
      </c>
      <c r="I25" s="13">
        <f t="shared" si="3"/>
        <v>0</v>
      </c>
    </row>
    <row r="26" spans="2:9" x14ac:dyDescent="0.25">
      <c r="B26" s="9">
        <v>23</v>
      </c>
      <c r="C26" s="10">
        <f>'[18]Estimasi NPHR'!C26</f>
        <v>4264.5192395264112</v>
      </c>
      <c r="D26" s="11">
        <f>'[18]Estimasi NPHR'!D26</f>
        <v>0</v>
      </c>
      <c r="E26" s="12">
        <f>'[18]Coal Blend'!BV359</f>
        <v>0.26666666666666666</v>
      </c>
      <c r="F26" s="12">
        <f t="shared" si="0"/>
        <v>0.73333333333333339</v>
      </c>
      <c r="G26" s="13">
        <f t="shared" si="1"/>
        <v>0</v>
      </c>
      <c r="H26" s="13">
        <f t="shared" si="2"/>
        <v>0</v>
      </c>
      <c r="I26" s="13">
        <f t="shared" si="3"/>
        <v>0</v>
      </c>
    </row>
    <row r="27" spans="2:9" x14ac:dyDescent="0.25">
      <c r="B27" s="9">
        <v>24</v>
      </c>
      <c r="C27" s="10">
        <f>'[18]Estimasi NPHR'!C27</f>
        <v>4254.3231761755478</v>
      </c>
      <c r="D27" s="11">
        <f>'[18]Estimasi NPHR'!D27</f>
        <v>0</v>
      </c>
      <c r="E27" s="12">
        <f>'[18]Coal Blend'!BV375</f>
        <v>0.40833333333333338</v>
      </c>
      <c r="F27" s="12">
        <f t="shared" si="0"/>
        <v>0.59166666666666656</v>
      </c>
      <c r="G27" s="13">
        <f t="shared" si="1"/>
        <v>0</v>
      </c>
      <c r="H27" s="13">
        <f t="shared" si="2"/>
        <v>0</v>
      </c>
      <c r="I27" s="13">
        <f t="shared" si="3"/>
        <v>0</v>
      </c>
    </row>
    <row r="28" spans="2:9" x14ac:dyDescent="0.25">
      <c r="B28" s="9">
        <v>25</v>
      </c>
      <c r="C28" s="10">
        <f>'[18]Estimasi NPHR'!C28</f>
        <v>4314.2055952380952</v>
      </c>
      <c r="D28" s="11">
        <f>'[18]Estimasi NPHR'!D28</f>
        <v>0</v>
      </c>
      <c r="E28" s="12">
        <f>'[18]Coal Blend'!BV391</f>
        <v>0.48333333333333339</v>
      </c>
      <c r="F28" s="12">
        <f t="shared" si="0"/>
        <v>0.51666666666666661</v>
      </c>
      <c r="G28" s="13">
        <f t="shared" si="1"/>
        <v>0</v>
      </c>
      <c r="H28" s="13">
        <f t="shared" si="2"/>
        <v>0</v>
      </c>
      <c r="I28" s="13">
        <f t="shared" si="3"/>
        <v>0</v>
      </c>
    </row>
    <row r="29" spans="2:9" x14ac:dyDescent="0.25">
      <c r="B29" s="9">
        <v>26</v>
      </c>
      <c r="C29" s="10">
        <f>'[18]Estimasi NPHR'!C29</f>
        <v>4225.9449712643682</v>
      </c>
      <c r="D29" s="11">
        <f>'[18]Estimasi NPHR'!D29</f>
        <v>0</v>
      </c>
      <c r="E29" s="12">
        <f>'[18]Coal Blend'!BV407</f>
        <v>0.35000000000000003</v>
      </c>
      <c r="F29" s="12">
        <f t="shared" si="0"/>
        <v>0.64999999999999991</v>
      </c>
      <c r="G29" s="13">
        <f t="shared" si="1"/>
        <v>0</v>
      </c>
      <c r="H29" s="13">
        <f t="shared" si="2"/>
        <v>0</v>
      </c>
      <c r="I29" s="13">
        <f t="shared" si="3"/>
        <v>0</v>
      </c>
    </row>
    <row r="30" spans="2:9" x14ac:dyDescent="0.25">
      <c r="B30" s="9">
        <v>27</v>
      </c>
      <c r="C30" s="10">
        <f>'[18]Estimasi NPHR'!C30</f>
        <v>4304.9542993620416</v>
      </c>
      <c r="D30" s="11">
        <f>'[18]Estimasi NPHR'!D30</f>
        <v>0</v>
      </c>
      <c r="E30" s="12">
        <f>'[18]Coal Blend'!BV423</f>
        <v>0.6</v>
      </c>
      <c r="F30" s="12">
        <f t="shared" si="0"/>
        <v>0.4</v>
      </c>
      <c r="G30" s="13">
        <f t="shared" si="1"/>
        <v>0</v>
      </c>
      <c r="H30" s="13">
        <f t="shared" si="2"/>
        <v>0</v>
      </c>
      <c r="I30" s="13">
        <f t="shared" si="3"/>
        <v>0</v>
      </c>
    </row>
    <row r="31" spans="2:9" x14ac:dyDescent="0.25">
      <c r="B31" s="9">
        <v>28</v>
      </c>
      <c r="C31" s="10">
        <f>'[18]Estimasi NPHR'!C31</f>
        <v>4284.4282796092803</v>
      </c>
      <c r="D31" s="11">
        <f>'[18]Estimasi NPHR'!D31</f>
        <v>0</v>
      </c>
      <c r="E31" s="12">
        <f>'[18]Coal Blend'!BV439</f>
        <v>0.5</v>
      </c>
      <c r="F31" s="12">
        <f t="shared" si="0"/>
        <v>0.5</v>
      </c>
      <c r="G31" s="13">
        <f t="shared" si="1"/>
        <v>0</v>
      </c>
      <c r="H31" s="13">
        <f t="shared" si="2"/>
        <v>0</v>
      </c>
      <c r="I31" s="13">
        <f t="shared" si="3"/>
        <v>0</v>
      </c>
    </row>
    <row r="32" spans="2:9" x14ac:dyDescent="0.25">
      <c r="B32" s="9">
        <v>29</v>
      </c>
      <c r="C32" s="10">
        <f>'[18]Estimasi NPHR'!C32</f>
        <v>4215.3964015151514</v>
      </c>
      <c r="D32" s="11">
        <f>'[18]Estimasi NPHR'!D32</f>
        <v>0</v>
      </c>
      <c r="E32" s="12">
        <f>'[18]Coal Blend'!BV455</f>
        <v>0.28333333333333338</v>
      </c>
      <c r="F32" s="12">
        <f t="shared" si="0"/>
        <v>0.71666666666666656</v>
      </c>
      <c r="G32" s="13">
        <f t="shared" si="1"/>
        <v>0</v>
      </c>
      <c r="H32" s="13">
        <f t="shared" si="2"/>
        <v>0</v>
      </c>
      <c r="I32" s="13">
        <f t="shared" si="3"/>
        <v>0</v>
      </c>
    </row>
    <row r="33" spans="2:9" ht="15.75" thickBot="1" x14ac:dyDescent="0.3">
      <c r="B33" s="9">
        <v>30</v>
      </c>
      <c r="C33" s="10">
        <f>'[18]Estimasi NPHR'!C33</f>
        <v>4267.5978723404251</v>
      </c>
      <c r="D33" s="11">
        <f>'[18]Estimasi NPHR'!D33</f>
        <v>0</v>
      </c>
      <c r="E33" s="12">
        <f>'[18]Coal Blend'!BV471</f>
        <v>0.3833333333333333</v>
      </c>
      <c r="F33" s="12">
        <f t="shared" si="0"/>
        <v>0.6166666666666667</v>
      </c>
      <c r="G33" s="13">
        <f t="shared" si="1"/>
        <v>0</v>
      </c>
      <c r="H33" s="13">
        <f t="shared" si="2"/>
        <v>0</v>
      </c>
      <c r="I33" s="13">
        <f t="shared" si="3"/>
        <v>0</v>
      </c>
    </row>
    <row r="34" spans="2:9" ht="15.75" thickBot="1" x14ac:dyDescent="0.3">
      <c r="B34" s="14"/>
      <c r="C34" s="15">
        <f>IF(D34=0,0,I34/D34)</f>
        <v>0</v>
      </c>
      <c r="D34" s="16">
        <f>SUM(D4:D33)</f>
        <v>0</v>
      </c>
      <c r="E34" s="16"/>
      <c r="F34" s="16"/>
      <c r="G34" s="16">
        <f>SUM(G4:G33)</f>
        <v>0</v>
      </c>
      <c r="H34" s="16">
        <f>SUM(H4:H33)</f>
        <v>0</v>
      </c>
      <c r="I34" s="17">
        <f>SUM(I4:I33)</f>
        <v>0</v>
      </c>
    </row>
    <row r="35" spans="2:9" x14ac:dyDescent="0.25">
      <c r="D35" s="18">
        <f>MAX(D4:D33)</f>
        <v>0</v>
      </c>
    </row>
  </sheetData>
  <mergeCells count="2">
    <mergeCell ref="B2:B3"/>
    <mergeCell ref="C2:I2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82CBC-3D53-4491-A517-FE7B81D9B2AF}">
  <dimension ref="B1:I35"/>
  <sheetViews>
    <sheetView workbookViewId="0">
      <selection activeCell="O36" sqref="O36"/>
    </sheetView>
  </sheetViews>
  <sheetFormatPr defaultRowHeight="15" x14ac:dyDescent="0.25"/>
  <cols>
    <col min="2" max="2" width="8.5703125" bestFit="1" customWidth="1"/>
    <col min="3" max="3" width="9.5703125" bestFit="1" customWidth="1"/>
    <col min="4" max="4" width="11.5703125" bestFit="1" customWidth="1"/>
    <col min="5" max="6" width="5.5703125" bestFit="1" customWidth="1"/>
    <col min="7" max="8" width="10.5703125" bestFit="1" customWidth="1"/>
    <col min="9" max="9" width="12.5703125" bestFit="1" customWidth="1"/>
  </cols>
  <sheetData>
    <row r="1" spans="2:9" ht="15.75" thickBot="1" x14ac:dyDescent="0.3"/>
    <row r="2" spans="2:9" ht="16.5" thickBot="1" x14ac:dyDescent="0.3">
      <c r="B2" s="1" t="s">
        <v>6</v>
      </c>
      <c r="C2" s="2" t="s">
        <v>5</v>
      </c>
      <c r="D2" s="3"/>
      <c r="E2" s="3"/>
      <c r="F2" s="3"/>
      <c r="G2" s="3"/>
      <c r="H2" s="3"/>
      <c r="I2" s="4"/>
    </row>
    <row r="3" spans="2:9" ht="16.5" thickBot="1" x14ac:dyDescent="0.3">
      <c r="B3" s="5"/>
      <c r="C3" s="6" t="s">
        <v>4</v>
      </c>
      <c r="D3" s="7" t="s">
        <v>0</v>
      </c>
      <c r="E3" s="8" t="s">
        <v>1</v>
      </c>
      <c r="F3" s="8" t="s">
        <v>2</v>
      </c>
      <c r="G3" s="8" t="s">
        <v>1</v>
      </c>
      <c r="H3" s="8" t="s">
        <v>2</v>
      </c>
      <c r="I3" s="8" t="s">
        <v>3</v>
      </c>
    </row>
    <row r="4" spans="2:9" x14ac:dyDescent="0.25">
      <c r="B4" s="9">
        <v>1</v>
      </c>
      <c r="C4" s="10">
        <f>'[19]Estimasi NPHR'!C4</f>
        <v>4217.8572274083544</v>
      </c>
      <c r="D4" s="11">
        <f>'[19]Estimasi NPHR'!D4</f>
        <v>0</v>
      </c>
      <c r="E4" s="12">
        <f>'[19]Coal Blend'!BV7</f>
        <v>0.39166666666666666</v>
      </c>
      <c r="F4" s="12">
        <f>1-E4</f>
        <v>0.60833333333333339</v>
      </c>
      <c r="G4" s="13">
        <f>_xlfn.IFNA(E4*D4,0)</f>
        <v>0</v>
      </c>
      <c r="H4" s="13">
        <f>_xlfn.IFNA(F4*D4,0)</f>
        <v>0</v>
      </c>
      <c r="I4" s="13">
        <f>C4*D4</f>
        <v>0</v>
      </c>
    </row>
    <row r="5" spans="2:9" x14ac:dyDescent="0.25">
      <c r="B5" s="9">
        <v>2</v>
      </c>
      <c r="C5" s="10">
        <f>'[19]Estimasi NPHR'!C5</f>
        <v>4252.7896197530872</v>
      </c>
      <c r="D5" s="11">
        <f>'[19]Estimasi NPHR'!D5</f>
        <v>0</v>
      </c>
      <c r="E5" s="12">
        <f>'[19]Coal Blend'!BV23</f>
        <v>0.65</v>
      </c>
      <c r="F5" s="12">
        <f t="shared" ref="F5:F33" si="0">1-E5</f>
        <v>0.35</v>
      </c>
      <c r="G5" s="13">
        <f t="shared" ref="G5:G33" si="1">_xlfn.IFNA(E5*D5,0)</f>
        <v>0</v>
      </c>
      <c r="H5" s="13">
        <f t="shared" ref="H5:H33" si="2">_xlfn.IFNA(F5*D5,0)</f>
        <v>0</v>
      </c>
      <c r="I5" s="13">
        <f t="shared" ref="I5:I33" si="3">C5*D5</f>
        <v>0</v>
      </c>
    </row>
    <row r="6" spans="2:9" x14ac:dyDescent="0.25">
      <c r="B6" s="9">
        <v>3</v>
      </c>
      <c r="C6" s="10">
        <f>'[19]Estimasi NPHR'!C6</f>
        <v>4326.4846179851256</v>
      </c>
      <c r="D6" s="11">
        <f>'[19]Estimasi NPHR'!D6</f>
        <v>0</v>
      </c>
      <c r="E6" s="12">
        <f>'[19]Coal Blend'!BV39</f>
        <v>0.56666666666666654</v>
      </c>
      <c r="F6" s="12">
        <f t="shared" si="0"/>
        <v>0.43333333333333346</v>
      </c>
      <c r="G6" s="13">
        <f t="shared" si="1"/>
        <v>0</v>
      </c>
      <c r="H6" s="13">
        <f t="shared" si="2"/>
        <v>0</v>
      </c>
      <c r="I6" s="13">
        <f t="shared" si="3"/>
        <v>0</v>
      </c>
    </row>
    <row r="7" spans="2:9" x14ac:dyDescent="0.25">
      <c r="B7" s="9">
        <v>4</v>
      </c>
      <c r="C7" s="10">
        <f>'[19]Estimasi NPHR'!C7</f>
        <v>4375.9333333333334</v>
      </c>
      <c r="D7" s="11">
        <f>'[19]Estimasi NPHR'!D7</f>
        <v>0</v>
      </c>
      <c r="E7" s="12">
        <f>'[19]Coal Blend'!BV55</f>
        <v>0.56666666666666665</v>
      </c>
      <c r="F7" s="12">
        <f t="shared" si="0"/>
        <v>0.43333333333333335</v>
      </c>
      <c r="G7" s="13">
        <f t="shared" si="1"/>
        <v>0</v>
      </c>
      <c r="H7" s="13">
        <f t="shared" si="2"/>
        <v>0</v>
      </c>
      <c r="I7" s="13">
        <f t="shared" si="3"/>
        <v>0</v>
      </c>
    </row>
    <row r="8" spans="2:9" x14ac:dyDescent="0.25">
      <c r="B8" s="9">
        <v>5</v>
      </c>
      <c r="C8" s="10">
        <f>'[19]Estimasi NPHR'!C8</f>
        <v>4300.9265306122452</v>
      </c>
      <c r="D8" s="11">
        <f>'[19]Estimasi NPHR'!D8</f>
        <v>0</v>
      </c>
      <c r="E8" s="12">
        <f>'[19]Coal Blend'!BV71</f>
        <v>0.43333333333333335</v>
      </c>
      <c r="F8" s="12">
        <f t="shared" si="0"/>
        <v>0.56666666666666665</v>
      </c>
      <c r="G8" s="13">
        <f t="shared" si="1"/>
        <v>0</v>
      </c>
      <c r="H8" s="13">
        <f t="shared" si="2"/>
        <v>0</v>
      </c>
      <c r="I8" s="13">
        <f t="shared" si="3"/>
        <v>0</v>
      </c>
    </row>
    <row r="9" spans="2:9" x14ac:dyDescent="0.25">
      <c r="B9" s="9">
        <v>6</v>
      </c>
      <c r="C9" s="10">
        <f>'[19]Estimasi NPHR'!C9</f>
        <v>4358.666666666667</v>
      </c>
      <c r="D9" s="11">
        <f>'[19]Estimasi NPHR'!D9</f>
        <v>0</v>
      </c>
      <c r="E9" s="12">
        <f>'[19]Coal Blend'!BV87</f>
        <v>0.33333333333333331</v>
      </c>
      <c r="F9" s="12">
        <f t="shared" si="0"/>
        <v>0.66666666666666674</v>
      </c>
      <c r="G9" s="13">
        <f t="shared" si="1"/>
        <v>0</v>
      </c>
      <c r="H9" s="13">
        <f t="shared" si="2"/>
        <v>0</v>
      </c>
      <c r="I9" s="13">
        <f t="shared" si="3"/>
        <v>0</v>
      </c>
    </row>
    <row r="10" spans="2:9" x14ac:dyDescent="0.25">
      <c r="B10" s="9">
        <v>7</v>
      </c>
      <c r="C10" s="10">
        <f>'[19]Estimasi NPHR'!C10</f>
        <v>4216.6197740112993</v>
      </c>
      <c r="D10" s="11">
        <f>'[19]Estimasi NPHR'!D10</f>
        <v>0</v>
      </c>
      <c r="E10" s="12">
        <f>'[19]Coal Blend'!BV103</f>
        <v>0.26666666666666666</v>
      </c>
      <c r="F10" s="12">
        <f t="shared" si="0"/>
        <v>0.73333333333333339</v>
      </c>
      <c r="G10" s="13">
        <f t="shared" si="1"/>
        <v>0</v>
      </c>
      <c r="H10" s="13">
        <f t="shared" si="2"/>
        <v>0</v>
      </c>
      <c r="I10" s="13">
        <f t="shared" si="3"/>
        <v>0</v>
      </c>
    </row>
    <row r="11" spans="2:9" x14ac:dyDescent="0.25">
      <c r="B11" s="9">
        <v>8</v>
      </c>
      <c r="C11" s="10">
        <f>'[19]Estimasi NPHR'!C11</f>
        <v>4272.2090395480227</v>
      </c>
      <c r="D11" s="11">
        <f>'[19]Estimasi NPHR'!D11</f>
        <v>0</v>
      </c>
      <c r="E11" s="12">
        <f>'[19]Coal Blend'!BV119</f>
        <v>0.5</v>
      </c>
      <c r="F11" s="12">
        <f t="shared" si="0"/>
        <v>0.5</v>
      </c>
      <c r="G11" s="13">
        <f t="shared" si="1"/>
        <v>0</v>
      </c>
      <c r="H11" s="13">
        <f t="shared" si="2"/>
        <v>0</v>
      </c>
      <c r="I11" s="13">
        <f t="shared" si="3"/>
        <v>0</v>
      </c>
    </row>
    <row r="12" spans="2:9" x14ac:dyDescent="0.25">
      <c r="B12" s="9">
        <v>9</v>
      </c>
      <c r="C12" s="10">
        <f>'[19]Estimasi NPHR'!C12</f>
        <v>4281.4057316017315</v>
      </c>
      <c r="D12" s="11">
        <f>'[19]Estimasi NPHR'!D12</f>
        <v>0</v>
      </c>
      <c r="E12" s="12">
        <f>'[19]Coal Blend'!BV135</f>
        <v>0.44166666666666671</v>
      </c>
      <c r="F12" s="12">
        <f t="shared" si="0"/>
        <v>0.55833333333333335</v>
      </c>
      <c r="G12" s="13">
        <f t="shared" si="1"/>
        <v>0</v>
      </c>
      <c r="H12" s="13">
        <f t="shared" si="2"/>
        <v>0</v>
      </c>
      <c r="I12" s="13">
        <f t="shared" si="3"/>
        <v>0</v>
      </c>
    </row>
    <row r="13" spans="2:9" x14ac:dyDescent="0.25">
      <c r="B13" s="9">
        <v>10</v>
      </c>
      <c r="C13" s="10">
        <f>'[19]Estimasi NPHR'!C13</f>
        <v>4221.5323846153842</v>
      </c>
      <c r="D13" s="11">
        <f>'[19]Estimasi NPHR'!D13</f>
        <v>0</v>
      </c>
      <c r="E13" s="12">
        <f>'[19]Coal Blend'!BV151</f>
        <v>0.3666666666666667</v>
      </c>
      <c r="F13" s="12">
        <f t="shared" si="0"/>
        <v>0.6333333333333333</v>
      </c>
      <c r="G13" s="13">
        <f t="shared" si="1"/>
        <v>0</v>
      </c>
      <c r="H13" s="13">
        <f t="shared" si="2"/>
        <v>0</v>
      </c>
      <c r="I13" s="13">
        <f t="shared" si="3"/>
        <v>0</v>
      </c>
    </row>
    <row r="14" spans="2:9" x14ac:dyDescent="0.25">
      <c r="B14" s="9">
        <v>11</v>
      </c>
      <c r="C14" s="10">
        <f>'[19]Estimasi NPHR'!C14</f>
        <v>4175.5833103366522</v>
      </c>
      <c r="D14" s="11">
        <f>'[19]Estimasi NPHR'!D14</f>
        <v>0</v>
      </c>
      <c r="E14" s="12">
        <f>'[19]Coal Blend'!BV167</f>
        <v>0.45</v>
      </c>
      <c r="F14" s="12">
        <f t="shared" si="0"/>
        <v>0.55000000000000004</v>
      </c>
      <c r="G14" s="13">
        <f t="shared" si="1"/>
        <v>0</v>
      </c>
      <c r="H14" s="13">
        <f t="shared" si="2"/>
        <v>0</v>
      </c>
      <c r="I14" s="13">
        <f t="shared" si="3"/>
        <v>0</v>
      </c>
    </row>
    <row r="15" spans="2:9" x14ac:dyDescent="0.25">
      <c r="B15" s="9">
        <v>12</v>
      </c>
      <c r="C15" s="10">
        <f>'[19]Estimasi NPHR'!C15</f>
        <v>4257.9660968660964</v>
      </c>
      <c r="D15" s="11">
        <f>'[19]Estimasi NPHR'!D15</f>
        <v>0</v>
      </c>
      <c r="E15" s="12">
        <f>'[19]Coal Blend'!BV183</f>
        <v>0.39999999999999997</v>
      </c>
      <c r="F15" s="12">
        <f t="shared" si="0"/>
        <v>0.60000000000000009</v>
      </c>
      <c r="G15" s="13">
        <f t="shared" si="1"/>
        <v>0</v>
      </c>
      <c r="H15" s="13">
        <f t="shared" si="2"/>
        <v>0</v>
      </c>
      <c r="I15" s="13">
        <f t="shared" si="3"/>
        <v>0</v>
      </c>
    </row>
    <row r="16" spans="2:9" x14ac:dyDescent="0.25">
      <c r="B16" s="9">
        <v>13</v>
      </c>
      <c r="C16" s="10">
        <f>'[19]Estimasi NPHR'!C16</f>
        <v>4141.9050793650795</v>
      </c>
      <c r="D16" s="11">
        <f>'[19]Estimasi NPHR'!D16</f>
        <v>0</v>
      </c>
      <c r="E16" s="12">
        <f>'[19]Coal Blend'!BV199</f>
        <v>0.28333333333333333</v>
      </c>
      <c r="F16" s="12">
        <f t="shared" si="0"/>
        <v>0.71666666666666667</v>
      </c>
      <c r="G16" s="13">
        <f t="shared" si="1"/>
        <v>0</v>
      </c>
      <c r="H16" s="13">
        <f t="shared" si="2"/>
        <v>0</v>
      </c>
      <c r="I16" s="13">
        <f t="shared" si="3"/>
        <v>0</v>
      </c>
    </row>
    <row r="17" spans="2:9" x14ac:dyDescent="0.25">
      <c r="B17" s="9">
        <v>14</v>
      </c>
      <c r="C17" s="10">
        <f>'[19]Estimasi NPHR'!C17</f>
        <v>4261.0499059606482</v>
      </c>
      <c r="D17" s="11">
        <f>'[19]Estimasi NPHR'!D17</f>
        <v>0</v>
      </c>
      <c r="E17" s="12">
        <f>'[19]Coal Blend'!BV215</f>
        <v>0.5</v>
      </c>
      <c r="F17" s="12">
        <f t="shared" si="0"/>
        <v>0.5</v>
      </c>
      <c r="G17" s="13">
        <f t="shared" si="1"/>
        <v>0</v>
      </c>
      <c r="H17" s="13">
        <f t="shared" si="2"/>
        <v>0</v>
      </c>
      <c r="I17" s="13">
        <f t="shared" si="3"/>
        <v>0</v>
      </c>
    </row>
    <row r="18" spans="2:9" x14ac:dyDescent="0.25">
      <c r="B18" s="9">
        <v>15</v>
      </c>
      <c r="C18" s="10">
        <f>'[19]Estimasi NPHR'!C18</f>
        <v>4275.6389173913039</v>
      </c>
      <c r="D18" s="11">
        <f>'[19]Estimasi NPHR'!D18</f>
        <v>0</v>
      </c>
      <c r="E18" s="12">
        <f>'[19]Coal Blend'!BV231</f>
        <v>0.44166666666666665</v>
      </c>
      <c r="F18" s="12">
        <f t="shared" si="0"/>
        <v>0.55833333333333335</v>
      </c>
      <c r="G18" s="13">
        <f t="shared" si="1"/>
        <v>0</v>
      </c>
      <c r="H18" s="13">
        <f t="shared" si="2"/>
        <v>0</v>
      </c>
      <c r="I18" s="13">
        <f t="shared" si="3"/>
        <v>0</v>
      </c>
    </row>
    <row r="19" spans="2:9" x14ac:dyDescent="0.25">
      <c r="B19" s="9">
        <v>16</v>
      </c>
      <c r="C19" s="10">
        <f>'[19]Estimasi NPHR'!C19</f>
        <v>4421.4728081140347</v>
      </c>
      <c r="D19" s="11">
        <f>'[19]Estimasi NPHR'!D19</f>
        <v>0</v>
      </c>
      <c r="E19" s="12">
        <f>'[19]Coal Blend'!BV247</f>
        <v>0.42499999999999999</v>
      </c>
      <c r="F19" s="12">
        <f t="shared" si="0"/>
        <v>0.57499999999999996</v>
      </c>
      <c r="G19" s="13">
        <f t="shared" si="1"/>
        <v>0</v>
      </c>
      <c r="H19" s="13">
        <f t="shared" si="2"/>
        <v>0</v>
      </c>
      <c r="I19" s="13">
        <f t="shared" si="3"/>
        <v>0</v>
      </c>
    </row>
    <row r="20" spans="2:9" x14ac:dyDescent="0.25">
      <c r="B20" s="9">
        <v>17</v>
      </c>
      <c r="C20" s="10">
        <f>'[19]Estimasi NPHR'!C20</f>
        <v>4520.1193333333331</v>
      </c>
      <c r="D20" s="11">
        <f>'[19]Estimasi NPHR'!D20</f>
        <v>0</v>
      </c>
      <c r="E20" s="12">
        <f>'[19]Coal Blend'!BV263</f>
        <v>0.32500000000000001</v>
      </c>
      <c r="F20" s="12">
        <f t="shared" si="0"/>
        <v>0.67500000000000004</v>
      </c>
      <c r="G20" s="13">
        <f t="shared" si="1"/>
        <v>0</v>
      </c>
      <c r="H20" s="13">
        <f t="shared" si="2"/>
        <v>0</v>
      </c>
      <c r="I20" s="13">
        <f t="shared" si="3"/>
        <v>0</v>
      </c>
    </row>
    <row r="21" spans="2:9" x14ac:dyDescent="0.25">
      <c r="B21" s="9">
        <v>18</v>
      </c>
      <c r="C21" s="10">
        <f>'[19]Estimasi NPHR'!C21</f>
        <v>4236.6646871686107</v>
      </c>
      <c r="D21" s="11">
        <f>'[19]Estimasi NPHR'!D21</f>
        <v>0</v>
      </c>
      <c r="E21" s="12">
        <f>'[19]Coal Blend'!BV279</f>
        <v>0.53333333333333333</v>
      </c>
      <c r="F21" s="12">
        <f t="shared" si="0"/>
        <v>0.46666666666666667</v>
      </c>
      <c r="G21" s="13">
        <f t="shared" si="1"/>
        <v>0</v>
      </c>
      <c r="H21" s="13">
        <f t="shared" si="2"/>
        <v>0</v>
      </c>
      <c r="I21" s="13">
        <f t="shared" si="3"/>
        <v>0</v>
      </c>
    </row>
    <row r="22" spans="2:9" x14ac:dyDescent="0.25">
      <c r="B22" s="9">
        <v>19</v>
      </c>
      <c r="C22" s="10">
        <f>'[19]Estimasi NPHR'!C22</f>
        <v>4288.3424242424253</v>
      </c>
      <c r="D22" s="11">
        <f>'[19]Estimasi NPHR'!D22</f>
        <v>0</v>
      </c>
      <c r="E22" s="12">
        <f>'[19]Coal Blend'!BV295</f>
        <v>0.43333333333333335</v>
      </c>
      <c r="F22" s="12">
        <f t="shared" si="0"/>
        <v>0.56666666666666665</v>
      </c>
      <c r="G22" s="13">
        <f t="shared" si="1"/>
        <v>0</v>
      </c>
      <c r="H22" s="13">
        <f t="shared" si="2"/>
        <v>0</v>
      </c>
      <c r="I22" s="13">
        <f t="shared" si="3"/>
        <v>0</v>
      </c>
    </row>
    <row r="23" spans="2:9" x14ac:dyDescent="0.25">
      <c r="B23" s="9">
        <v>20</v>
      </c>
      <c r="C23" s="10">
        <f>'[19]Estimasi NPHR'!C23</f>
        <v>4428.5863095238101</v>
      </c>
      <c r="D23" s="11">
        <f>'[19]Estimasi NPHR'!D23</f>
        <v>0</v>
      </c>
      <c r="E23" s="12">
        <f>'[19]Coal Blend'!BV311</f>
        <v>0.44166666666666665</v>
      </c>
      <c r="F23" s="12">
        <f t="shared" si="0"/>
        <v>0.55833333333333335</v>
      </c>
      <c r="G23" s="13">
        <f t="shared" si="1"/>
        <v>0</v>
      </c>
      <c r="H23" s="13">
        <f t="shared" si="2"/>
        <v>0</v>
      </c>
      <c r="I23" s="13">
        <f t="shared" si="3"/>
        <v>0</v>
      </c>
    </row>
    <row r="24" spans="2:9" x14ac:dyDescent="0.25">
      <c r="B24" s="9">
        <v>21</v>
      </c>
      <c r="C24" s="10">
        <f>'[19]Estimasi NPHR'!C24</f>
        <v>4390.5358974358969</v>
      </c>
      <c r="D24" s="11">
        <f>'[19]Estimasi NPHR'!D24</f>
        <v>0</v>
      </c>
      <c r="E24" s="12">
        <f>'[19]Coal Blend'!BV327</f>
        <v>0.54999999999999993</v>
      </c>
      <c r="F24" s="12">
        <f t="shared" si="0"/>
        <v>0.45000000000000007</v>
      </c>
      <c r="G24" s="13">
        <f t="shared" si="1"/>
        <v>0</v>
      </c>
      <c r="H24" s="13">
        <f t="shared" si="2"/>
        <v>0</v>
      </c>
      <c r="I24" s="13">
        <f t="shared" si="3"/>
        <v>0</v>
      </c>
    </row>
    <row r="25" spans="2:9" x14ac:dyDescent="0.25">
      <c r="B25" s="9">
        <v>22</v>
      </c>
      <c r="C25" s="10">
        <f>'[19]Estimasi NPHR'!C25</f>
        <v>4429.1385397692766</v>
      </c>
      <c r="D25" s="11">
        <f>'[19]Estimasi NPHR'!D25</f>
        <v>0</v>
      </c>
      <c r="E25" s="12">
        <f>'[19]Coal Blend'!BV343</f>
        <v>0.65833333333333333</v>
      </c>
      <c r="F25" s="12">
        <f t="shared" si="0"/>
        <v>0.34166666666666667</v>
      </c>
      <c r="G25" s="13">
        <f t="shared" si="1"/>
        <v>0</v>
      </c>
      <c r="H25" s="13">
        <f t="shared" si="2"/>
        <v>0</v>
      </c>
      <c r="I25" s="13">
        <f t="shared" si="3"/>
        <v>0</v>
      </c>
    </row>
    <row r="26" spans="2:9" x14ac:dyDescent="0.25">
      <c r="B26" s="9">
        <v>23</v>
      </c>
      <c r="C26" s="10">
        <f>'[19]Estimasi NPHR'!C26</f>
        <v>4347.5225534188039</v>
      </c>
      <c r="D26" s="11">
        <f>'[19]Estimasi NPHR'!D26</f>
        <v>0</v>
      </c>
      <c r="E26" s="12">
        <f>'[19]Coal Blend'!BV359</f>
        <v>0.54999999999999993</v>
      </c>
      <c r="F26" s="12">
        <f t="shared" si="0"/>
        <v>0.45000000000000007</v>
      </c>
      <c r="G26" s="13">
        <f t="shared" si="1"/>
        <v>0</v>
      </c>
      <c r="H26" s="13">
        <f t="shared" si="2"/>
        <v>0</v>
      </c>
      <c r="I26" s="13">
        <f t="shared" si="3"/>
        <v>0</v>
      </c>
    </row>
    <row r="27" spans="2:9" x14ac:dyDescent="0.25">
      <c r="B27" s="9">
        <v>24</v>
      </c>
      <c r="C27" s="10">
        <f>'[19]Estimasi NPHR'!C27</f>
        <v>4230.5641025641025</v>
      </c>
      <c r="D27" s="11">
        <f>'[19]Estimasi NPHR'!D27</f>
        <v>0</v>
      </c>
      <c r="E27" s="12">
        <f>'[19]Coal Blend'!BV375</f>
        <v>0.44166666666666671</v>
      </c>
      <c r="F27" s="12">
        <f t="shared" si="0"/>
        <v>0.55833333333333335</v>
      </c>
      <c r="G27" s="13">
        <f t="shared" si="1"/>
        <v>0</v>
      </c>
      <c r="H27" s="13">
        <f t="shared" si="2"/>
        <v>0</v>
      </c>
      <c r="I27" s="13">
        <f t="shared" si="3"/>
        <v>0</v>
      </c>
    </row>
    <row r="28" spans="2:9" x14ac:dyDescent="0.25">
      <c r="B28" s="9">
        <v>25</v>
      </c>
      <c r="C28" s="10">
        <f>'[19]Estimasi NPHR'!C28</f>
        <v>4248.3970158906131</v>
      </c>
      <c r="D28" s="11">
        <f>'[19]Estimasi NPHR'!D28</f>
        <v>0</v>
      </c>
      <c r="E28" s="12">
        <f>'[19]Coal Blend'!BV391</f>
        <v>0.3833333333333333</v>
      </c>
      <c r="F28" s="12">
        <f t="shared" si="0"/>
        <v>0.6166666666666667</v>
      </c>
      <c r="G28" s="13">
        <f t="shared" si="1"/>
        <v>0</v>
      </c>
      <c r="H28" s="13">
        <f t="shared" si="2"/>
        <v>0</v>
      </c>
      <c r="I28" s="13">
        <f t="shared" si="3"/>
        <v>0</v>
      </c>
    </row>
    <row r="29" spans="2:9" x14ac:dyDescent="0.25">
      <c r="B29" s="9">
        <v>26</v>
      </c>
      <c r="C29" s="10">
        <f>'[19]Estimasi NPHR'!C29</f>
        <v>4395.2768879268879</v>
      </c>
      <c r="D29" s="11">
        <f>'[19]Estimasi NPHR'!D29</f>
        <v>0</v>
      </c>
      <c r="E29" s="12">
        <f>'[19]Coal Blend'!BV407</f>
        <v>0.42499999999999999</v>
      </c>
      <c r="F29" s="12">
        <f t="shared" si="0"/>
        <v>0.57499999999999996</v>
      </c>
      <c r="G29" s="13">
        <f t="shared" si="1"/>
        <v>0</v>
      </c>
      <c r="H29" s="13">
        <f t="shared" si="2"/>
        <v>0</v>
      </c>
      <c r="I29" s="13">
        <f t="shared" si="3"/>
        <v>0</v>
      </c>
    </row>
    <row r="30" spans="2:9" x14ac:dyDescent="0.25">
      <c r="B30" s="9">
        <v>27</v>
      </c>
      <c r="C30" s="10">
        <f>'[19]Estimasi NPHR'!C30</f>
        <v>4396.0385952418628</v>
      </c>
      <c r="D30" s="11">
        <f>'[19]Estimasi NPHR'!D30</f>
        <v>0</v>
      </c>
      <c r="E30" s="12">
        <f>'[19]Coal Blend'!BV423</f>
        <v>0.54999999999999993</v>
      </c>
      <c r="F30" s="12">
        <f t="shared" si="0"/>
        <v>0.45000000000000007</v>
      </c>
      <c r="G30" s="13">
        <f t="shared" si="1"/>
        <v>0</v>
      </c>
      <c r="H30" s="13">
        <f t="shared" si="2"/>
        <v>0</v>
      </c>
      <c r="I30" s="13">
        <f t="shared" si="3"/>
        <v>0</v>
      </c>
    </row>
    <row r="31" spans="2:9" x14ac:dyDescent="0.25">
      <c r="B31" s="9">
        <v>28</v>
      </c>
      <c r="C31" s="10">
        <f>'[19]Estimasi NPHR'!C31</f>
        <v>4324.1829851143011</v>
      </c>
      <c r="D31" s="11">
        <f>'[19]Estimasi NPHR'!D31</f>
        <v>0</v>
      </c>
      <c r="E31" s="12">
        <f>'[19]Coal Blend'!BV439</f>
        <v>0.57500000000000007</v>
      </c>
      <c r="F31" s="12">
        <f t="shared" si="0"/>
        <v>0.42499999999999993</v>
      </c>
      <c r="G31" s="13">
        <f t="shared" si="1"/>
        <v>0</v>
      </c>
      <c r="H31" s="13">
        <f t="shared" si="2"/>
        <v>0</v>
      </c>
      <c r="I31" s="13">
        <f t="shared" si="3"/>
        <v>0</v>
      </c>
    </row>
    <row r="32" spans="2:9" x14ac:dyDescent="0.25">
      <c r="B32" s="9">
        <v>29</v>
      </c>
      <c r="C32" s="10">
        <f>'[19]Estimasi NPHR'!C32</f>
        <v>4218.6927710843374</v>
      </c>
      <c r="D32" s="11">
        <f>'[19]Estimasi NPHR'!D32</f>
        <v>0</v>
      </c>
      <c r="E32" s="12">
        <f>'[19]Coal Blend'!BV455</f>
        <v>0.25</v>
      </c>
      <c r="F32" s="12">
        <f t="shared" si="0"/>
        <v>0.75</v>
      </c>
      <c r="G32" s="13">
        <f t="shared" si="1"/>
        <v>0</v>
      </c>
      <c r="H32" s="13">
        <f t="shared" si="2"/>
        <v>0</v>
      </c>
      <c r="I32" s="13">
        <f t="shared" si="3"/>
        <v>0</v>
      </c>
    </row>
    <row r="33" spans="2:9" ht="15.75" thickBot="1" x14ac:dyDescent="0.3">
      <c r="B33" s="9">
        <v>30</v>
      </c>
      <c r="C33" s="10">
        <f>'[19]Estimasi NPHR'!C33</f>
        <v>4208.2580712788258</v>
      </c>
      <c r="D33" s="11">
        <f>'[19]Estimasi NPHR'!D33</f>
        <v>0</v>
      </c>
      <c r="E33" s="12">
        <f>'[19]Coal Blend'!BV471</f>
        <v>0.29166666666666669</v>
      </c>
      <c r="F33" s="12">
        <f t="shared" si="0"/>
        <v>0.70833333333333326</v>
      </c>
      <c r="G33" s="13">
        <f t="shared" si="1"/>
        <v>0</v>
      </c>
      <c r="H33" s="13">
        <f t="shared" si="2"/>
        <v>0</v>
      </c>
      <c r="I33" s="13">
        <f t="shared" si="3"/>
        <v>0</v>
      </c>
    </row>
    <row r="34" spans="2:9" ht="15.75" thickBot="1" x14ac:dyDescent="0.3">
      <c r="B34" s="14"/>
      <c r="C34" s="15">
        <f>IF(D34=0,0,I34/D34)</f>
        <v>0</v>
      </c>
      <c r="D34" s="16">
        <f>SUM(D4:D33)</f>
        <v>0</v>
      </c>
      <c r="E34" s="16"/>
      <c r="F34" s="16"/>
      <c r="G34" s="16">
        <f>SUM(G4:G33)</f>
        <v>0</v>
      </c>
      <c r="H34" s="16">
        <f>SUM(H4:H33)</f>
        <v>0</v>
      </c>
      <c r="I34" s="17">
        <f>SUM(I4:I33)</f>
        <v>0</v>
      </c>
    </row>
    <row r="35" spans="2:9" x14ac:dyDescent="0.25">
      <c r="D35" s="18">
        <f>MAX(D4:D33)</f>
        <v>0</v>
      </c>
    </row>
  </sheetData>
  <mergeCells count="2">
    <mergeCell ref="B2:B3"/>
    <mergeCell ref="C2:I2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B08B8-1035-4544-BAE2-92DE13003754}">
  <dimension ref="B1:I35"/>
  <sheetViews>
    <sheetView workbookViewId="0">
      <selection activeCell="O35" sqref="O35"/>
    </sheetView>
  </sheetViews>
  <sheetFormatPr defaultRowHeight="15" x14ac:dyDescent="0.25"/>
  <cols>
    <col min="2" max="2" width="8.5703125" bestFit="1" customWidth="1"/>
    <col min="3" max="3" width="9.5703125" bestFit="1" customWidth="1"/>
    <col min="4" max="4" width="11.5703125" bestFit="1" customWidth="1"/>
    <col min="5" max="6" width="5.5703125" bestFit="1" customWidth="1"/>
    <col min="7" max="8" width="10.5703125" bestFit="1" customWidth="1"/>
    <col min="9" max="9" width="12.5703125" bestFit="1" customWidth="1"/>
  </cols>
  <sheetData>
    <row r="1" spans="2:9" ht="15.75" thickBot="1" x14ac:dyDescent="0.3"/>
    <row r="2" spans="2:9" ht="16.5" thickBot="1" x14ac:dyDescent="0.3">
      <c r="B2" s="1" t="s">
        <v>6</v>
      </c>
      <c r="C2" s="2" t="s">
        <v>5</v>
      </c>
      <c r="D2" s="3"/>
      <c r="E2" s="3"/>
      <c r="F2" s="3"/>
      <c r="G2" s="3"/>
      <c r="H2" s="3"/>
      <c r="I2" s="4"/>
    </row>
    <row r="3" spans="2:9" ht="16.5" thickBot="1" x14ac:dyDescent="0.3">
      <c r="B3" s="5"/>
      <c r="C3" s="6" t="s">
        <v>4</v>
      </c>
      <c r="D3" s="7" t="s">
        <v>0</v>
      </c>
      <c r="E3" s="8" t="s">
        <v>1</v>
      </c>
      <c r="F3" s="8" t="s">
        <v>2</v>
      </c>
      <c r="G3" s="8" t="s">
        <v>1</v>
      </c>
      <c r="H3" s="8" t="s">
        <v>2</v>
      </c>
      <c r="I3" s="8" t="s">
        <v>3</v>
      </c>
    </row>
    <row r="4" spans="2:9" x14ac:dyDescent="0.25">
      <c r="B4" s="9">
        <v>1</v>
      </c>
      <c r="C4" s="10">
        <f>'[20]Estimasi NPHR'!C4</f>
        <v>4231.5936325278099</v>
      </c>
      <c r="D4" s="11">
        <f>'[20]Estimasi NPHR'!D4</f>
        <v>0</v>
      </c>
      <c r="E4" s="12">
        <f>'[20]Coal Blend'!BV7</f>
        <v>0.42499999999999999</v>
      </c>
      <c r="F4" s="12">
        <f>1-E4</f>
        <v>0.57499999999999996</v>
      </c>
      <c r="G4" s="13">
        <f>_xlfn.IFNA(E4*D4,0)</f>
        <v>0</v>
      </c>
      <c r="H4" s="13">
        <f>_xlfn.IFNA(F4*D4,0)</f>
        <v>0</v>
      </c>
      <c r="I4" s="13">
        <f>C4*D4</f>
        <v>0</v>
      </c>
    </row>
    <row r="5" spans="2:9" x14ac:dyDescent="0.25">
      <c r="B5" s="9">
        <v>2</v>
      </c>
      <c r="C5" s="10">
        <f>'[20]Estimasi NPHR'!C5</f>
        <v>4203.2947040846748</v>
      </c>
      <c r="D5" s="11">
        <f>'[20]Estimasi NPHR'!D5</f>
        <v>0</v>
      </c>
      <c r="E5" s="12">
        <f>'[20]Coal Blend'!BV23</f>
        <v>0.41666666666666669</v>
      </c>
      <c r="F5" s="12">
        <f t="shared" ref="F5:F33" si="0">1-E5</f>
        <v>0.58333333333333326</v>
      </c>
      <c r="G5" s="13">
        <f t="shared" ref="G5:G33" si="1">_xlfn.IFNA(E5*D5,0)</f>
        <v>0</v>
      </c>
      <c r="H5" s="13">
        <f t="shared" ref="H5:H33" si="2">_xlfn.IFNA(F5*D5,0)</f>
        <v>0</v>
      </c>
      <c r="I5" s="13">
        <f t="shared" ref="I5:I33" si="3">C5*D5</f>
        <v>0</v>
      </c>
    </row>
    <row r="6" spans="2:9" x14ac:dyDescent="0.25">
      <c r="B6" s="9">
        <v>3</v>
      </c>
      <c r="C6" s="10">
        <f>'[20]Estimasi NPHR'!C6</f>
        <v>4347.3628304512031</v>
      </c>
      <c r="D6" s="11">
        <f>'[20]Estimasi NPHR'!D6</f>
        <v>0</v>
      </c>
      <c r="E6" s="12">
        <f>'[20]Coal Blend'!BV39</f>
        <v>0.5083333333333333</v>
      </c>
      <c r="F6" s="12">
        <f t="shared" si="0"/>
        <v>0.4916666666666667</v>
      </c>
      <c r="G6" s="13">
        <f t="shared" si="1"/>
        <v>0</v>
      </c>
      <c r="H6" s="13">
        <f t="shared" si="2"/>
        <v>0</v>
      </c>
      <c r="I6" s="13">
        <f t="shared" si="3"/>
        <v>0</v>
      </c>
    </row>
    <row r="7" spans="2:9" x14ac:dyDescent="0.25">
      <c r="B7" s="9">
        <v>4</v>
      </c>
      <c r="C7" s="10">
        <f>'[20]Estimasi NPHR'!C7</f>
        <v>4420.5932323232328</v>
      </c>
      <c r="D7" s="11">
        <f>'[20]Estimasi NPHR'!D7</f>
        <v>0</v>
      </c>
      <c r="E7" s="12">
        <f>'[20]Coal Blend'!BV55</f>
        <v>0.80833333333333324</v>
      </c>
      <c r="F7" s="12">
        <f t="shared" si="0"/>
        <v>0.19166666666666676</v>
      </c>
      <c r="G7" s="13">
        <f t="shared" si="1"/>
        <v>0</v>
      </c>
      <c r="H7" s="13">
        <f t="shared" si="2"/>
        <v>0</v>
      </c>
      <c r="I7" s="13">
        <f t="shared" si="3"/>
        <v>0</v>
      </c>
    </row>
    <row r="8" spans="2:9" x14ac:dyDescent="0.25">
      <c r="B8" s="9">
        <v>5</v>
      </c>
      <c r="C8" s="10">
        <f>'[20]Estimasi NPHR'!C8</f>
        <v>4433.5214145658265</v>
      </c>
      <c r="D8" s="11">
        <f>'[20]Estimasi NPHR'!D8</f>
        <v>0</v>
      </c>
      <c r="E8" s="12">
        <f>'[20]Coal Blend'!BV71</f>
        <v>0.93333333333333324</v>
      </c>
      <c r="F8" s="12">
        <f t="shared" si="0"/>
        <v>6.6666666666666763E-2</v>
      </c>
      <c r="G8" s="13">
        <f t="shared" si="1"/>
        <v>0</v>
      </c>
      <c r="H8" s="13">
        <f t="shared" si="2"/>
        <v>0</v>
      </c>
      <c r="I8" s="13">
        <f t="shared" si="3"/>
        <v>0</v>
      </c>
    </row>
    <row r="9" spans="2:9" x14ac:dyDescent="0.25">
      <c r="B9" s="9">
        <v>6</v>
      </c>
      <c r="C9" s="10">
        <f>'[20]Estimasi NPHR'!C9</f>
        <v>4437</v>
      </c>
      <c r="D9" s="11">
        <f>'[20]Estimasi NPHR'!D9</f>
        <v>0</v>
      </c>
      <c r="E9" s="12">
        <f>'[20]Coal Blend'!BV87</f>
        <v>0.5</v>
      </c>
      <c r="F9" s="12">
        <f t="shared" si="0"/>
        <v>0.5</v>
      </c>
      <c r="G9" s="13">
        <f t="shared" si="1"/>
        <v>0</v>
      </c>
      <c r="H9" s="13">
        <f t="shared" si="2"/>
        <v>0</v>
      </c>
      <c r="I9" s="13">
        <f t="shared" si="3"/>
        <v>0</v>
      </c>
    </row>
    <row r="10" spans="2:9" x14ac:dyDescent="0.25">
      <c r="B10" s="9">
        <v>7</v>
      </c>
      <c r="C10" s="10" t="str">
        <f>'[20]Estimasi NPHR'!C10</f>
        <v>0</v>
      </c>
      <c r="D10" s="11">
        <f>'[20]Estimasi NPHR'!D10</f>
        <v>0</v>
      </c>
      <c r="E10" s="12">
        <f>'[20]Coal Blend'!BV103</f>
        <v>0</v>
      </c>
      <c r="F10" s="12">
        <f t="shared" si="0"/>
        <v>1</v>
      </c>
      <c r="G10" s="13">
        <f t="shared" si="1"/>
        <v>0</v>
      </c>
      <c r="H10" s="13">
        <f t="shared" si="2"/>
        <v>0</v>
      </c>
      <c r="I10" s="13">
        <f t="shared" si="3"/>
        <v>0</v>
      </c>
    </row>
    <row r="11" spans="2:9" x14ac:dyDescent="0.25">
      <c r="B11" s="9">
        <v>8</v>
      </c>
      <c r="C11" s="10">
        <f>'[20]Estimasi NPHR'!C11</f>
        <v>3897.9</v>
      </c>
      <c r="D11" s="11">
        <f>'[20]Estimasi NPHR'!D11</f>
        <v>0</v>
      </c>
      <c r="E11" s="12">
        <f>'[20]Coal Blend'!BV119</f>
        <v>0.11666666666666665</v>
      </c>
      <c r="F11" s="12">
        <f t="shared" si="0"/>
        <v>0.8833333333333333</v>
      </c>
      <c r="G11" s="13">
        <f t="shared" si="1"/>
        <v>0</v>
      </c>
      <c r="H11" s="13">
        <f t="shared" si="2"/>
        <v>0</v>
      </c>
      <c r="I11" s="13">
        <f t="shared" si="3"/>
        <v>0</v>
      </c>
    </row>
    <row r="12" spans="2:9" x14ac:dyDescent="0.25">
      <c r="B12" s="9">
        <v>9</v>
      </c>
      <c r="C12" s="10" t="str">
        <f>'[20]Estimasi NPHR'!C12</f>
        <v>0</v>
      </c>
      <c r="D12" s="11">
        <f>'[20]Estimasi NPHR'!D12</f>
        <v>0</v>
      </c>
      <c r="E12" s="12">
        <f>'[20]Coal Blend'!BV135</f>
        <v>0</v>
      </c>
      <c r="F12" s="12">
        <f t="shared" si="0"/>
        <v>1</v>
      </c>
      <c r="G12" s="13">
        <f t="shared" si="1"/>
        <v>0</v>
      </c>
      <c r="H12" s="13">
        <f t="shared" si="2"/>
        <v>0</v>
      </c>
      <c r="I12" s="13">
        <f t="shared" si="3"/>
        <v>0</v>
      </c>
    </row>
    <row r="13" spans="2:9" x14ac:dyDescent="0.25">
      <c r="B13" s="9">
        <v>10</v>
      </c>
      <c r="C13" s="10" t="str">
        <f>'[20]Estimasi NPHR'!C13</f>
        <v>0</v>
      </c>
      <c r="D13" s="11">
        <f>'[20]Estimasi NPHR'!D13</f>
        <v>0</v>
      </c>
      <c r="E13" s="12">
        <f>'[20]Coal Blend'!BV151</f>
        <v>0</v>
      </c>
      <c r="F13" s="12">
        <f t="shared" si="0"/>
        <v>1</v>
      </c>
      <c r="G13" s="13">
        <f t="shared" si="1"/>
        <v>0</v>
      </c>
      <c r="H13" s="13">
        <f t="shared" si="2"/>
        <v>0</v>
      </c>
      <c r="I13" s="13">
        <f t="shared" si="3"/>
        <v>0</v>
      </c>
    </row>
    <row r="14" spans="2:9" x14ac:dyDescent="0.25">
      <c r="B14" s="9">
        <v>11</v>
      </c>
      <c r="C14" s="10" t="str">
        <f>'[20]Estimasi NPHR'!C14</f>
        <v>0</v>
      </c>
      <c r="D14" s="11">
        <f>'[20]Estimasi NPHR'!D14</f>
        <v>0</v>
      </c>
      <c r="E14" s="12">
        <f>'[20]Coal Blend'!BV167</f>
        <v>0</v>
      </c>
      <c r="F14" s="12">
        <f t="shared" si="0"/>
        <v>1</v>
      </c>
      <c r="G14" s="13">
        <f t="shared" si="1"/>
        <v>0</v>
      </c>
      <c r="H14" s="13">
        <f t="shared" si="2"/>
        <v>0</v>
      </c>
      <c r="I14" s="13">
        <f t="shared" si="3"/>
        <v>0</v>
      </c>
    </row>
    <row r="15" spans="2:9" x14ac:dyDescent="0.25">
      <c r="B15" s="9">
        <v>12</v>
      </c>
      <c r="C15" s="10" t="str">
        <f>'[20]Estimasi NPHR'!C15</f>
        <v>0</v>
      </c>
      <c r="D15" s="11">
        <f>'[20]Estimasi NPHR'!D15</f>
        <v>0</v>
      </c>
      <c r="E15" s="12">
        <f>'[20]Coal Blend'!BV183</f>
        <v>0</v>
      </c>
      <c r="F15" s="12">
        <f t="shared" si="0"/>
        <v>1</v>
      </c>
      <c r="G15" s="13">
        <f t="shared" si="1"/>
        <v>0</v>
      </c>
      <c r="H15" s="13">
        <f t="shared" si="2"/>
        <v>0</v>
      </c>
      <c r="I15" s="13">
        <f t="shared" si="3"/>
        <v>0</v>
      </c>
    </row>
    <row r="16" spans="2:9" x14ac:dyDescent="0.25">
      <c r="B16" s="9">
        <v>13</v>
      </c>
      <c r="C16" s="10" t="str">
        <f>'[20]Estimasi NPHR'!C16</f>
        <v>0</v>
      </c>
      <c r="D16" s="11">
        <f>'[20]Estimasi NPHR'!D16</f>
        <v>0</v>
      </c>
      <c r="E16" s="12">
        <f>'[20]Coal Blend'!BV199</f>
        <v>0</v>
      </c>
      <c r="F16" s="12">
        <f t="shared" si="0"/>
        <v>1</v>
      </c>
      <c r="G16" s="13">
        <f t="shared" si="1"/>
        <v>0</v>
      </c>
      <c r="H16" s="13">
        <f t="shared" si="2"/>
        <v>0</v>
      </c>
      <c r="I16" s="13">
        <f t="shared" si="3"/>
        <v>0</v>
      </c>
    </row>
    <row r="17" spans="2:9" x14ac:dyDescent="0.25">
      <c r="B17" s="9">
        <v>14</v>
      </c>
      <c r="C17" s="10" t="str">
        <f>'[20]Estimasi NPHR'!C17</f>
        <v>0</v>
      </c>
      <c r="D17" s="11">
        <f>'[20]Estimasi NPHR'!D17</f>
        <v>0</v>
      </c>
      <c r="E17" s="12">
        <f>'[20]Coal Blend'!BV215</f>
        <v>0</v>
      </c>
      <c r="F17" s="12">
        <f t="shared" si="0"/>
        <v>1</v>
      </c>
      <c r="G17" s="13">
        <f t="shared" si="1"/>
        <v>0</v>
      </c>
      <c r="H17" s="13">
        <f t="shared" si="2"/>
        <v>0</v>
      </c>
      <c r="I17" s="13">
        <f t="shared" si="3"/>
        <v>0</v>
      </c>
    </row>
    <row r="18" spans="2:9" x14ac:dyDescent="0.25">
      <c r="B18" s="9">
        <v>15</v>
      </c>
      <c r="C18" s="10" t="str">
        <f>'[20]Estimasi NPHR'!C18</f>
        <v>0</v>
      </c>
      <c r="D18" s="11">
        <f>'[20]Estimasi NPHR'!D18</f>
        <v>0</v>
      </c>
      <c r="E18" s="12">
        <f>'[20]Coal Blend'!BV231</f>
        <v>0</v>
      </c>
      <c r="F18" s="12">
        <f t="shared" si="0"/>
        <v>1</v>
      </c>
      <c r="G18" s="13">
        <f t="shared" si="1"/>
        <v>0</v>
      </c>
      <c r="H18" s="13">
        <f t="shared" si="2"/>
        <v>0</v>
      </c>
      <c r="I18" s="13">
        <f t="shared" si="3"/>
        <v>0</v>
      </c>
    </row>
    <row r="19" spans="2:9" x14ac:dyDescent="0.25">
      <c r="B19" s="9">
        <v>16</v>
      </c>
      <c r="C19" s="10" t="str">
        <f>'[20]Estimasi NPHR'!C19</f>
        <v>0</v>
      </c>
      <c r="D19" s="11">
        <f>'[20]Estimasi NPHR'!D19</f>
        <v>0</v>
      </c>
      <c r="E19" s="12">
        <f>'[20]Coal Blend'!BV247</f>
        <v>0</v>
      </c>
      <c r="F19" s="12">
        <f t="shared" si="0"/>
        <v>1</v>
      </c>
      <c r="G19" s="13">
        <f t="shared" si="1"/>
        <v>0</v>
      </c>
      <c r="H19" s="13">
        <f t="shared" si="2"/>
        <v>0</v>
      </c>
      <c r="I19" s="13">
        <f t="shared" si="3"/>
        <v>0</v>
      </c>
    </row>
    <row r="20" spans="2:9" x14ac:dyDescent="0.25">
      <c r="B20" s="9">
        <v>17</v>
      </c>
      <c r="C20" s="10" t="str">
        <f>'[20]Estimasi NPHR'!C20</f>
        <v>0</v>
      </c>
      <c r="D20" s="11">
        <f>'[20]Estimasi NPHR'!D20</f>
        <v>0</v>
      </c>
      <c r="E20" s="12">
        <f>'[20]Coal Blend'!BV263</f>
        <v>0</v>
      </c>
      <c r="F20" s="12">
        <f t="shared" si="0"/>
        <v>1</v>
      </c>
      <c r="G20" s="13">
        <f t="shared" si="1"/>
        <v>0</v>
      </c>
      <c r="H20" s="13">
        <f t="shared" si="2"/>
        <v>0</v>
      </c>
      <c r="I20" s="13">
        <f t="shared" si="3"/>
        <v>0</v>
      </c>
    </row>
    <row r="21" spans="2:9" x14ac:dyDescent="0.25">
      <c r="B21" s="9">
        <v>18</v>
      </c>
      <c r="C21" s="10" t="str">
        <f>'[20]Estimasi NPHR'!C21</f>
        <v>0</v>
      </c>
      <c r="D21" s="11">
        <f>'[20]Estimasi NPHR'!D21</f>
        <v>0</v>
      </c>
      <c r="E21" s="12">
        <f>'[20]Coal Blend'!BV279</f>
        <v>0</v>
      </c>
      <c r="F21" s="12">
        <f t="shared" si="0"/>
        <v>1</v>
      </c>
      <c r="G21" s="13">
        <f t="shared" si="1"/>
        <v>0</v>
      </c>
      <c r="H21" s="13">
        <f t="shared" si="2"/>
        <v>0</v>
      </c>
      <c r="I21" s="13">
        <f t="shared" si="3"/>
        <v>0</v>
      </c>
    </row>
    <row r="22" spans="2:9" x14ac:dyDescent="0.25">
      <c r="B22" s="9">
        <v>19</v>
      </c>
      <c r="C22" s="10" t="str">
        <f>'[20]Estimasi NPHR'!C22</f>
        <v>0</v>
      </c>
      <c r="D22" s="11">
        <f>'[20]Estimasi NPHR'!D22</f>
        <v>0</v>
      </c>
      <c r="E22" s="12">
        <f>'[20]Coal Blend'!BV295</f>
        <v>0</v>
      </c>
      <c r="F22" s="12">
        <f t="shared" si="0"/>
        <v>1</v>
      </c>
      <c r="G22" s="13">
        <f t="shared" si="1"/>
        <v>0</v>
      </c>
      <c r="H22" s="13">
        <f t="shared" si="2"/>
        <v>0</v>
      </c>
      <c r="I22" s="13">
        <f t="shared" si="3"/>
        <v>0</v>
      </c>
    </row>
    <row r="23" spans="2:9" x14ac:dyDescent="0.25">
      <c r="B23" s="9">
        <v>20</v>
      </c>
      <c r="C23" s="10" t="str">
        <f>'[20]Estimasi NPHR'!C23</f>
        <v>0</v>
      </c>
      <c r="D23" s="11">
        <f>'[20]Estimasi NPHR'!D23</f>
        <v>0</v>
      </c>
      <c r="E23" s="12">
        <f>'[20]Coal Blend'!BV311</f>
        <v>0</v>
      </c>
      <c r="F23" s="12">
        <f t="shared" si="0"/>
        <v>1</v>
      </c>
      <c r="G23" s="13">
        <f t="shared" si="1"/>
        <v>0</v>
      </c>
      <c r="H23" s="13">
        <f t="shared" si="2"/>
        <v>0</v>
      </c>
      <c r="I23" s="13">
        <f t="shared" si="3"/>
        <v>0</v>
      </c>
    </row>
    <row r="24" spans="2:9" x14ac:dyDescent="0.25">
      <c r="B24" s="9">
        <v>21</v>
      </c>
      <c r="C24" s="10" t="str">
        <f>'[20]Estimasi NPHR'!C24</f>
        <v>0</v>
      </c>
      <c r="D24" s="11">
        <f>'[20]Estimasi NPHR'!D24</f>
        <v>0</v>
      </c>
      <c r="E24" s="12">
        <f>'[20]Coal Blend'!BV327</f>
        <v>0</v>
      </c>
      <c r="F24" s="12">
        <f t="shared" si="0"/>
        <v>1</v>
      </c>
      <c r="G24" s="13">
        <f t="shared" si="1"/>
        <v>0</v>
      </c>
      <c r="H24" s="13">
        <f t="shared" si="2"/>
        <v>0</v>
      </c>
      <c r="I24" s="13">
        <f t="shared" si="3"/>
        <v>0</v>
      </c>
    </row>
    <row r="25" spans="2:9" x14ac:dyDescent="0.25">
      <c r="B25" s="9">
        <v>22</v>
      </c>
      <c r="C25" s="10" t="str">
        <f>'[20]Estimasi NPHR'!C25</f>
        <v>0</v>
      </c>
      <c r="D25" s="11">
        <f>'[20]Estimasi NPHR'!D25</f>
        <v>0</v>
      </c>
      <c r="E25" s="12">
        <f>'[20]Coal Blend'!BV343</f>
        <v>0</v>
      </c>
      <c r="F25" s="12">
        <f t="shared" si="0"/>
        <v>1</v>
      </c>
      <c r="G25" s="13">
        <f t="shared" si="1"/>
        <v>0</v>
      </c>
      <c r="H25" s="13">
        <f t="shared" si="2"/>
        <v>0</v>
      </c>
      <c r="I25" s="13">
        <f t="shared" si="3"/>
        <v>0</v>
      </c>
    </row>
    <row r="26" spans="2:9" x14ac:dyDescent="0.25">
      <c r="B26" s="9">
        <v>23</v>
      </c>
      <c r="C26" s="10" t="str">
        <f>'[20]Estimasi NPHR'!C26</f>
        <v>0</v>
      </c>
      <c r="D26" s="11">
        <f>'[20]Estimasi NPHR'!D26</f>
        <v>0</v>
      </c>
      <c r="E26" s="12">
        <f>'[20]Coal Blend'!BV359</f>
        <v>0</v>
      </c>
      <c r="F26" s="12">
        <f t="shared" si="0"/>
        <v>1</v>
      </c>
      <c r="G26" s="13">
        <f t="shared" si="1"/>
        <v>0</v>
      </c>
      <c r="H26" s="13">
        <f t="shared" si="2"/>
        <v>0</v>
      </c>
      <c r="I26" s="13">
        <f t="shared" si="3"/>
        <v>0</v>
      </c>
    </row>
    <row r="27" spans="2:9" x14ac:dyDescent="0.25">
      <c r="B27" s="9">
        <v>24</v>
      </c>
      <c r="C27" s="10" t="str">
        <f>'[20]Estimasi NPHR'!C27</f>
        <v>0</v>
      </c>
      <c r="D27" s="11">
        <f>'[20]Estimasi NPHR'!D27</f>
        <v>0</v>
      </c>
      <c r="E27" s="12">
        <f>'[20]Coal Blend'!BV375</f>
        <v>0</v>
      </c>
      <c r="F27" s="12">
        <f t="shared" si="0"/>
        <v>1</v>
      </c>
      <c r="G27" s="13">
        <f t="shared" si="1"/>
        <v>0</v>
      </c>
      <c r="H27" s="13">
        <f t="shared" si="2"/>
        <v>0</v>
      </c>
      <c r="I27" s="13">
        <f t="shared" si="3"/>
        <v>0</v>
      </c>
    </row>
    <row r="28" spans="2:9" x14ac:dyDescent="0.25">
      <c r="B28" s="9">
        <v>25</v>
      </c>
      <c r="C28" s="10" t="str">
        <f>'[20]Estimasi NPHR'!C28</f>
        <v>0</v>
      </c>
      <c r="D28" s="11">
        <f>'[20]Estimasi NPHR'!D28</f>
        <v>0</v>
      </c>
      <c r="E28" s="12">
        <f>'[20]Coal Blend'!BV391</f>
        <v>0</v>
      </c>
      <c r="F28" s="12">
        <f t="shared" si="0"/>
        <v>1</v>
      </c>
      <c r="G28" s="13">
        <f t="shared" si="1"/>
        <v>0</v>
      </c>
      <c r="H28" s="13">
        <f t="shared" si="2"/>
        <v>0</v>
      </c>
      <c r="I28" s="13">
        <f t="shared" si="3"/>
        <v>0</v>
      </c>
    </row>
    <row r="29" spans="2:9" x14ac:dyDescent="0.25">
      <c r="B29" s="9">
        <v>26</v>
      </c>
      <c r="C29" s="10" t="str">
        <f>'[20]Estimasi NPHR'!C29</f>
        <v>0</v>
      </c>
      <c r="D29" s="11">
        <f>'[20]Estimasi NPHR'!D29</f>
        <v>0</v>
      </c>
      <c r="E29" s="12">
        <f>'[20]Coal Blend'!BV407</f>
        <v>0</v>
      </c>
      <c r="F29" s="12">
        <f t="shared" si="0"/>
        <v>1</v>
      </c>
      <c r="G29" s="13">
        <f t="shared" si="1"/>
        <v>0</v>
      </c>
      <c r="H29" s="13">
        <f t="shared" si="2"/>
        <v>0</v>
      </c>
      <c r="I29" s="13">
        <f t="shared" si="3"/>
        <v>0</v>
      </c>
    </row>
    <row r="30" spans="2:9" x14ac:dyDescent="0.25">
      <c r="B30" s="9">
        <v>27</v>
      </c>
      <c r="C30" s="10" t="str">
        <f>'[20]Estimasi NPHR'!C30</f>
        <v>0</v>
      </c>
      <c r="D30" s="11">
        <f>'[20]Estimasi NPHR'!D30</f>
        <v>0</v>
      </c>
      <c r="E30" s="12">
        <f>'[20]Coal Blend'!BV423</f>
        <v>0</v>
      </c>
      <c r="F30" s="12">
        <f t="shared" si="0"/>
        <v>1</v>
      </c>
      <c r="G30" s="13">
        <f t="shared" si="1"/>
        <v>0</v>
      </c>
      <c r="H30" s="13">
        <f t="shared" si="2"/>
        <v>0</v>
      </c>
      <c r="I30" s="13">
        <f t="shared" si="3"/>
        <v>0</v>
      </c>
    </row>
    <row r="31" spans="2:9" x14ac:dyDescent="0.25">
      <c r="B31" s="9">
        <v>28</v>
      </c>
      <c r="C31" s="10" t="str">
        <f>'[20]Estimasi NPHR'!C31</f>
        <v>0</v>
      </c>
      <c r="D31" s="11">
        <f>'[20]Estimasi NPHR'!D31</f>
        <v>0</v>
      </c>
      <c r="E31" s="12">
        <f>'[20]Coal Blend'!BV439</f>
        <v>0</v>
      </c>
      <c r="F31" s="12">
        <f t="shared" si="0"/>
        <v>1</v>
      </c>
      <c r="G31" s="13">
        <f t="shared" si="1"/>
        <v>0</v>
      </c>
      <c r="H31" s="13">
        <f t="shared" si="2"/>
        <v>0</v>
      </c>
      <c r="I31" s="13">
        <f t="shared" si="3"/>
        <v>0</v>
      </c>
    </row>
    <row r="32" spans="2:9" x14ac:dyDescent="0.25">
      <c r="B32" s="9">
        <v>29</v>
      </c>
      <c r="C32" s="10" t="str">
        <f>'[20]Estimasi NPHR'!C32</f>
        <v>0</v>
      </c>
      <c r="D32" s="11">
        <f>'[20]Estimasi NPHR'!D32</f>
        <v>0</v>
      </c>
      <c r="E32" s="12">
        <f>'[20]Coal Blend'!BV455</f>
        <v>0</v>
      </c>
      <c r="F32" s="12">
        <f t="shared" si="0"/>
        <v>1</v>
      </c>
      <c r="G32" s="13">
        <f t="shared" si="1"/>
        <v>0</v>
      </c>
      <c r="H32" s="13">
        <f t="shared" si="2"/>
        <v>0</v>
      </c>
      <c r="I32" s="13">
        <f t="shared" si="3"/>
        <v>0</v>
      </c>
    </row>
    <row r="33" spans="2:9" ht="15.75" thickBot="1" x14ac:dyDescent="0.3">
      <c r="B33" s="9">
        <v>30</v>
      </c>
      <c r="C33" s="10" t="str">
        <f>'[20]Estimasi NPHR'!C33</f>
        <v>0</v>
      </c>
      <c r="D33" s="11">
        <f>'[20]Estimasi NPHR'!D33</f>
        <v>0</v>
      </c>
      <c r="E33" s="12">
        <f>'[20]Coal Blend'!BV471</f>
        <v>0</v>
      </c>
      <c r="F33" s="12">
        <f t="shared" si="0"/>
        <v>1</v>
      </c>
      <c r="G33" s="13">
        <f t="shared" si="1"/>
        <v>0</v>
      </c>
      <c r="H33" s="13">
        <f t="shared" si="2"/>
        <v>0</v>
      </c>
      <c r="I33" s="13">
        <f t="shared" si="3"/>
        <v>0</v>
      </c>
    </row>
    <row r="34" spans="2:9" ht="15.75" thickBot="1" x14ac:dyDescent="0.3">
      <c r="B34" s="14"/>
      <c r="C34" s="15">
        <f>IF(D34=0,0,I34/D34)</f>
        <v>0</v>
      </c>
      <c r="D34" s="16">
        <f>SUM(D4:D33)</f>
        <v>0</v>
      </c>
      <c r="E34" s="16"/>
      <c r="F34" s="16"/>
      <c r="G34" s="16">
        <f>SUM(G4:G33)</f>
        <v>0</v>
      </c>
      <c r="H34" s="16">
        <f>SUM(H4:H33)</f>
        <v>0</v>
      </c>
      <c r="I34" s="17">
        <f>SUM(I4:I33)</f>
        <v>0</v>
      </c>
    </row>
    <row r="35" spans="2:9" x14ac:dyDescent="0.25">
      <c r="D35" s="18">
        <f>MAX(D4:D33)</f>
        <v>0</v>
      </c>
    </row>
  </sheetData>
  <mergeCells count="2">
    <mergeCell ref="B2:B3"/>
    <mergeCell ref="C2:I2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44CBB-1436-42BA-8D95-52C2CA251133}">
  <dimension ref="B1:I35"/>
  <sheetViews>
    <sheetView workbookViewId="0">
      <selection activeCell="Q35" sqref="Q35"/>
    </sheetView>
  </sheetViews>
  <sheetFormatPr defaultRowHeight="15" x14ac:dyDescent="0.25"/>
  <cols>
    <col min="2" max="2" width="8.5703125" bestFit="1" customWidth="1"/>
    <col min="3" max="3" width="9.5703125" bestFit="1" customWidth="1"/>
    <col min="4" max="4" width="11.5703125" bestFit="1" customWidth="1"/>
    <col min="5" max="6" width="5.5703125" bestFit="1" customWidth="1"/>
    <col min="7" max="8" width="10.5703125" bestFit="1" customWidth="1"/>
    <col min="9" max="9" width="12.5703125" bestFit="1" customWidth="1"/>
  </cols>
  <sheetData>
    <row r="1" spans="2:9" ht="15.75" thickBot="1" x14ac:dyDescent="0.3"/>
    <row r="2" spans="2:9" ht="16.5" thickBot="1" x14ac:dyDescent="0.3">
      <c r="B2" s="1" t="s">
        <v>6</v>
      </c>
      <c r="C2" s="2" t="s">
        <v>5</v>
      </c>
      <c r="D2" s="3"/>
      <c r="E2" s="3"/>
      <c r="F2" s="3"/>
      <c r="G2" s="3"/>
      <c r="H2" s="3"/>
      <c r="I2" s="4"/>
    </row>
    <row r="3" spans="2:9" ht="16.5" thickBot="1" x14ac:dyDescent="0.3">
      <c r="B3" s="5"/>
      <c r="C3" s="6" t="s">
        <v>4</v>
      </c>
      <c r="D3" s="7" t="s">
        <v>0</v>
      </c>
      <c r="E3" s="8" t="s">
        <v>1</v>
      </c>
      <c r="F3" s="8" t="s">
        <v>2</v>
      </c>
      <c r="G3" s="8" t="s">
        <v>1</v>
      </c>
      <c r="H3" s="8" t="s">
        <v>2</v>
      </c>
      <c r="I3" s="8" t="s">
        <v>3</v>
      </c>
    </row>
    <row r="4" spans="2:9" x14ac:dyDescent="0.25">
      <c r="B4" s="9">
        <v>1</v>
      </c>
      <c r="C4" s="10" t="str">
        <f>'[21]Estimasi NPHR'!C4</f>
        <v>0</v>
      </c>
      <c r="D4" s="11">
        <f>'[21]Estimasi NPHR'!D4</f>
        <v>0</v>
      </c>
      <c r="E4" s="12">
        <f>'[21]Coal Blend'!BV7</f>
        <v>0</v>
      </c>
      <c r="F4" s="12">
        <f>1-E4</f>
        <v>1</v>
      </c>
      <c r="G4" s="13">
        <f>_xlfn.IFNA(E4*D4,0)</f>
        <v>0</v>
      </c>
      <c r="H4" s="13">
        <f>_xlfn.IFNA(F4*D4,0)</f>
        <v>0</v>
      </c>
      <c r="I4" s="13">
        <f>C4*D4</f>
        <v>0</v>
      </c>
    </row>
    <row r="5" spans="2:9" x14ac:dyDescent="0.25">
      <c r="B5" s="9">
        <v>2</v>
      </c>
      <c r="C5" s="10" t="str">
        <f>'[21]Estimasi NPHR'!C5</f>
        <v>0</v>
      </c>
      <c r="D5" s="11">
        <f>'[21]Estimasi NPHR'!D5</f>
        <v>0</v>
      </c>
      <c r="E5" s="12">
        <f>'[21]Coal Blend'!BV23</f>
        <v>0</v>
      </c>
      <c r="F5" s="12">
        <f t="shared" ref="F5:F33" si="0">1-E5</f>
        <v>1</v>
      </c>
      <c r="G5" s="13">
        <f t="shared" ref="G5:G33" si="1">_xlfn.IFNA(E5*D5,0)</f>
        <v>0</v>
      </c>
      <c r="H5" s="13">
        <f t="shared" ref="H5:H33" si="2">_xlfn.IFNA(F5*D5,0)</f>
        <v>0</v>
      </c>
      <c r="I5" s="13">
        <f t="shared" ref="I5:I33" si="3">C5*D5</f>
        <v>0</v>
      </c>
    </row>
    <row r="6" spans="2:9" x14ac:dyDescent="0.25">
      <c r="B6" s="9">
        <v>3</v>
      </c>
      <c r="C6" s="10" t="str">
        <f>'[21]Estimasi NPHR'!C6</f>
        <v>0</v>
      </c>
      <c r="D6" s="11">
        <f>'[21]Estimasi NPHR'!D6</f>
        <v>0</v>
      </c>
      <c r="E6" s="12">
        <f>'[21]Coal Blend'!BV39</f>
        <v>0</v>
      </c>
      <c r="F6" s="12">
        <f t="shared" si="0"/>
        <v>1</v>
      </c>
      <c r="G6" s="13">
        <f t="shared" si="1"/>
        <v>0</v>
      </c>
      <c r="H6" s="13">
        <f t="shared" si="2"/>
        <v>0</v>
      </c>
      <c r="I6" s="13">
        <f t="shared" si="3"/>
        <v>0</v>
      </c>
    </row>
    <row r="7" spans="2:9" x14ac:dyDescent="0.25">
      <c r="B7" s="9">
        <v>4</v>
      </c>
      <c r="C7" s="10" t="str">
        <f>'[21]Estimasi NPHR'!C7</f>
        <v>0</v>
      </c>
      <c r="D7" s="11">
        <f>'[21]Estimasi NPHR'!D7</f>
        <v>0</v>
      </c>
      <c r="E7" s="12">
        <f>'[21]Coal Blend'!BV55</f>
        <v>0</v>
      </c>
      <c r="F7" s="12">
        <f t="shared" si="0"/>
        <v>1</v>
      </c>
      <c r="G7" s="13">
        <f t="shared" si="1"/>
        <v>0</v>
      </c>
      <c r="H7" s="13">
        <f t="shared" si="2"/>
        <v>0</v>
      </c>
      <c r="I7" s="13">
        <f t="shared" si="3"/>
        <v>0</v>
      </c>
    </row>
    <row r="8" spans="2:9" x14ac:dyDescent="0.25">
      <c r="B8" s="9">
        <v>5</v>
      </c>
      <c r="C8" s="10" t="str">
        <f>'[21]Estimasi NPHR'!C8</f>
        <v>0</v>
      </c>
      <c r="D8" s="11">
        <f>'[21]Estimasi NPHR'!D8</f>
        <v>0</v>
      </c>
      <c r="E8" s="12">
        <f>'[21]Coal Blend'!BV71</f>
        <v>0</v>
      </c>
      <c r="F8" s="12">
        <f t="shared" si="0"/>
        <v>1</v>
      </c>
      <c r="G8" s="13">
        <f t="shared" si="1"/>
        <v>0</v>
      </c>
      <c r="H8" s="13">
        <f t="shared" si="2"/>
        <v>0</v>
      </c>
      <c r="I8" s="13">
        <f t="shared" si="3"/>
        <v>0</v>
      </c>
    </row>
    <row r="9" spans="2:9" x14ac:dyDescent="0.25">
      <c r="B9" s="9">
        <v>6</v>
      </c>
      <c r="C9" s="10" t="str">
        <f>'[21]Estimasi NPHR'!C9</f>
        <v>0</v>
      </c>
      <c r="D9" s="11">
        <f>'[21]Estimasi NPHR'!D9</f>
        <v>0</v>
      </c>
      <c r="E9" s="12">
        <f>'[21]Coal Blend'!BV87</f>
        <v>0</v>
      </c>
      <c r="F9" s="12">
        <f t="shared" si="0"/>
        <v>1</v>
      </c>
      <c r="G9" s="13">
        <f t="shared" si="1"/>
        <v>0</v>
      </c>
      <c r="H9" s="13">
        <f t="shared" si="2"/>
        <v>0</v>
      </c>
      <c r="I9" s="13">
        <f t="shared" si="3"/>
        <v>0</v>
      </c>
    </row>
    <row r="10" spans="2:9" x14ac:dyDescent="0.25">
      <c r="B10" s="9">
        <v>7</v>
      </c>
      <c r="C10" s="10" t="str">
        <f>'[21]Estimasi NPHR'!C10</f>
        <v>0</v>
      </c>
      <c r="D10" s="11">
        <f>'[21]Estimasi NPHR'!D10</f>
        <v>0</v>
      </c>
      <c r="E10" s="12">
        <f>'[21]Coal Blend'!BV103</f>
        <v>0</v>
      </c>
      <c r="F10" s="12">
        <f t="shared" si="0"/>
        <v>1</v>
      </c>
      <c r="G10" s="13">
        <f t="shared" si="1"/>
        <v>0</v>
      </c>
      <c r="H10" s="13">
        <f t="shared" si="2"/>
        <v>0</v>
      </c>
      <c r="I10" s="13">
        <f t="shared" si="3"/>
        <v>0</v>
      </c>
    </row>
    <row r="11" spans="2:9" x14ac:dyDescent="0.25">
      <c r="B11" s="9">
        <v>8</v>
      </c>
      <c r="C11" s="10" t="str">
        <f>'[21]Estimasi NPHR'!C11</f>
        <v>0</v>
      </c>
      <c r="D11" s="11">
        <f>'[21]Estimasi NPHR'!D11</f>
        <v>0</v>
      </c>
      <c r="E11" s="12">
        <f>'[21]Coal Blend'!BV119</f>
        <v>0</v>
      </c>
      <c r="F11" s="12">
        <f t="shared" si="0"/>
        <v>1</v>
      </c>
      <c r="G11" s="13">
        <f t="shared" si="1"/>
        <v>0</v>
      </c>
      <c r="H11" s="13">
        <f t="shared" si="2"/>
        <v>0</v>
      </c>
      <c r="I11" s="13">
        <f t="shared" si="3"/>
        <v>0</v>
      </c>
    </row>
    <row r="12" spans="2:9" x14ac:dyDescent="0.25">
      <c r="B12" s="9">
        <v>9</v>
      </c>
      <c r="C12" s="10" t="str">
        <f>'[21]Estimasi NPHR'!C12</f>
        <v>0</v>
      </c>
      <c r="D12" s="11">
        <f>'[21]Estimasi NPHR'!D12</f>
        <v>0</v>
      </c>
      <c r="E12" s="12">
        <f>'[21]Coal Blend'!BV135</f>
        <v>0</v>
      </c>
      <c r="F12" s="12">
        <f t="shared" si="0"/>
        <v>1</v>
      </c>
      <c r="G12" s="13">
        <f t="shared" si="1"/>
        <v>0</v>
      </c>
      <c r="H12" s="13">
        <f t="shared" si="2"/>
        <v>0</v>
      </c>
      <c r="I12" s="13">
        <f t="shared" si="3"/>
        <v>0</v>
      </c>
    </row>
    <row r="13" spans="2:9" x14ac:dyDescent="0.25">
      <c r="B13" s="9">
        <v>10</v>
      </c>
      <c r="C13" s="10" t="str">
        <f>'[21]Estimasi NPHR'!C13</f>
        <v>0</v>
      </c>
      <c r="D13" s="11">
        <f>'[21]Estimasi NPHR'!D13</f>
        <v>0</v>
      </c>
      <c r="E13" s="12">
        <f>'[21]Coal Blend'!BV151</f>
        <v>0</v>
      </c>
      <c r="F13" s="12">
        <f t="shared" si="0"/>
        <v>1</v>
      </c>
      <c r="G13" s="13">
        <f t="shared" si="1"/>
        <v>0</v>
      </c>
      <c r="H13" s="13">
        <f t="shared" si="2"/>
        <v>0</v>
      </c>
      <c r="I13" s="13">
        <f t="shared" si="3"/>
        <v>0</v>
      </c>
    </row>
    <row r="14" spans="2:9" x14ac:dyDescent="0.25">
      <c r="B14" s="9">
        <v>11</v>
      </c>
      <c r="C14" s="10" t="str">
        <f>'[21]Estimasi NPHR'!C14</f>
        <v>0</v>
      </c>
      <c r="D14" s="11">
        <f>'[21]Estimasi NPHR'!D14</f>
        <v>0</v>
      </c>
      <c r="E14" s="12">
        <f>'[21]Coal Blend'!BV167</f>
        <v>0</v>
      </c>
      <c r="F14" s="12">
        <f t="shared" si="0"/>
        <v>1</v>
      </c>
      <c r="G14" s="13">
        <f t="shared" si="1"/>
        <v>0</v>
      </c>
      <c r="H14" s="13">
        <f t="shared" si="2"/>
        <v>0</v>
      </c>
      <c r="I14" s="13">
        <f t="shared" si="3"/>
        <v>0</v>
      </c>
    </row>
    <row r="15" spans="2:9" x14ac:dyDescent="0.25">
      <c r="B15" s="9">
        <v>12</v>
      </c>
      <c r="C15" s="10" t="str">
        <f>'[21]Estimasi NPHR'!C15</f>
        <v>0</v>
      </c>
      <c r="D15" s="11">
        <f>'[21]Estimasi NPHR'!D15</f>
        <v>0</v>
      </c>
      <c r="E15" s="12">
        <f>'[21]Coal Blend'!BV183</f>
        <v>0</v>
      </c>
      <c r="F15" s="12">
        <f t="shared" si="0"/>
        <v>1</v>
      </c>
      <c r="G15" s="13">
        <f t="shared" si="1"/>
        <v>0</v>
      </c>
      <c r="H15" s="13">
        <f t="shared" si="2"/>
        <v>0</v>
      </c>
      <c r="I15" s="13">
        <f t="shared" si="3"/>
        <v>0</v>
      </c>
    </row>
    <row r="16" spans="2:9" x14ac:dyDescent="0.25">
      <c r="B16" s="9">
        <v>13</v>
      </c>
      <c r="C16" s="10" t="str">
        <f>'[21]Estimasi NPHR'!C16</f>
        <v>0</v>
      </c>
      <c r="D16" s="11">
        <f>'[21]Estimasi NPHR'!D16</f>
        <v>0</v>
      </c>
      <c r="E16" s="12">
        <f>'[21]Coal Blend'!BV199</f>
        <v>0</v>
      </c>
      <c r="F16" s="12">
        <f t="shared" si="0"/>
        <v>1</v>
      </c>
      <c r="G16" s="13">
        <f t="shared" si="1"/>
        <v>0</v>
      </c>
      <c r="H16" s="13">
        <f t="shared" si="2"/>
        <v>0</v>
      </c>
      <c r="I16" s="13">
        <f t="shared" si="3"/>
        <v>0</v>
      </c>
    </row>
    <row r="17" spans="2:9" x14ac:dyDescent="0.25">
      <c r="B17" s="9">
        <v>14</v>
      </c>
      <c r="C17" s="10" t="str">
        <f>'[21]Estimasi NPHR'!C17</f>
        <v>0</v>
      </c>
      <c r="D17" s="11">
        <f>'[21]Estimasi NPHR'!D17</f>
        <v>0</v>
      </c>
      <c r="E17" s="12">
        <f>'[21]Coal Blend'!BV215</f>
        <v>0</v>
      </c>
      <c r="F17" s="12">
        <f t="shared" si="0"/>
        <v>1</v>
      </c>
      <c r="G17" s="13">
        <f t="shared" si="1"/>
        <v>0</v>
      </c>
      <c r="H17" s="13">
        <f t="shared" si="2"/>
        <v>0</v>
      </c>
      <c r="I17" s="13">
        <f t="shared" si="3"/>
        <v>0</v>
      </c>
    </row>
    <row r="18" spans="2:9" x14ac:dyDescent="0.25">
      <c r="B18" s="9">
        <v>15</v>
      </c>
      <c r="C18" s="10">
        <f>'[21]Estimasi NPHR'!C18</f>
        <v>4302.7517822520504</v>
      </c>
      <c r="D18" s="11">
        <f>'[21]Estimasi NPHR'!D18</f>
        <v>0</v>
      </c>
      <c r="E18" s="12">
        <f>'[21]Coal Blend'!BV231</f>
        <v>0.6</v>
      </c>
      <c r="F18" s="12">
        <f t="shared" si="0"/>
        <v>0.4</v>
      </c>
      <c r="G18" s="13">
        <f t="shared" si="1"/>
        <v>0</v>
      </c>
      <c r="H18" s="13">
        <f t="shared" si="2"/>
        <v>0</v>
      </c>
      <c r="I18" s="13">
        <f t="shared" si="3"/>
        <v>0</v>
      </c>
    </row>
    <row r="19" spans="2:9" x14ac:dyDescent="0.25">
      <c r="B19" s="9">
        <v>16</v>
      </c>
      <c r="C19" s="10">
        <f>'[21]Estimasi NPHR'!C19</f>
        <v>4193.4493986538682</v>
      </c>
      <c r="D19" s="11">
        <f>'[21]Estimasi NPHR'!D19</f>
        <v>0</v>
      </c>
      <c r="E19" s="12">
        <f>'[21]Coal Blend'!BV247</f>
        <v>0.51666666666666672</v>
      </c>
      <c r="F19" s="12">
        <f t="shared" si="0"/>
        <v>0.48333333333333328</v>
      </c>
      <c r="G19" s="13">
        <f t="shared" si="1"/>
        <v>0</v>
      </c>
      <c r="H19" s="13">
        <f t="shared" si="2"/>
        <v>0</v>
      </c>
      <c r="I19" s="13">
        <f t="shared" si="3"/>
        <v>0</v>
      </c>
    </row>
    <row r="20" spans="2:9" x14ac:dyDescent="0.25">
      <c r="B20" s="9">
        <v>17</v>
      </c>
      <c r="C20" s="10">
        <f>'[21]Estimasi NPHR'!C20</f>
        <v>4099.1767461622803</v>
      </c>
      <c r="D20" s="11">
        <f>'[21]Estimasi NPHR'!D20</f>
        <v>0</v>
      </c>
      <c r="E20" s="12">
        <f>'[21]Coal Blend'!BV263</f>
        <v>0.27499999999999997</v>
      </c>
      <c r="F20" s="12">
        <f t="shared" si="0"/>
        <v>0.72500000000000009</v>
      </c>
      <c r="G20" s="13">
        <f t="shared" si="1"/>
        <v>0</v>
      </c>
      <c r="H20" s="13">
        <f t="shared" si="2"/>
        <v>0</v>
      </c>
      <c r="I20" s="13">
        <f t="shared" si="3"/>
        <v>0</v>
      </c>
    </row>
    <row r="21" spans="2:9" x14ac:dyDescent="0.25">
      <c r="B21" s="9">
        <v>18</v>
      </c>
      <c r="C21" s="10">
        <f>'[21]Estimasi NPHR'!C21</f>
        <v>4244.057788469735</v>
      </c>
      <c r="D21" s="11">
        <f>'[21]Estimasi NPHR'!D21</f>
        <v>0</v>
      </c>
      <c r="E21" s="12">
        <f>'[21]Coal Blend'!BV279</f>
        <v>0.3666666666666667</v>
      </c>
      <c r="F21" s="12">
        <f t="shared" si="0"/>
        <v>0.6333333333333333</v>
      </c>
      <c r="G21" s="13">
        <f t="shared" si="1"/>
        <v>0</v>
      </c>
      <c r="H21" s="13">
        <f t="shared" si="2"/>
        <v>0</v>
      </c>
      <c r="I21" s="13">
        <f t="shared" si="3"/>
        <v>0</v>
      </c>
    </row>
    <row r="22" spans="2:9" x14ac:dyDescent="0.25">
      <c r="B22" s="9">
        <v>19</v>
      </c>
      <c r="C22" s="10">
        <f>'[21]Estimasi NPHR'!C22</f>
        <v>4207.9477429590015</v>
      </c>
      <c r="D22" s="11">
        <f>'[21]Estimasi NPHR'!D22</f>
        <v>0</v>
      </c>
      <c r="E22" s="12">
        <f>'[21]Coal Blend'!BV295</f>
        <v>0.47499999999999992</v>
      </c>
      <c r="F22" s="12">
        <f t="shared" si="0"/>
        <v>0.52500000000000013</v>
      </c>
      <c r="G22" s="13">
        <f t="shared" si="1"/>
        <v>0</v>
      </c>
      <c r="H22" s="13">
        <f t="shared" si="2"/>
        <v>0</v>
      </c>
      <c r="I22" s="13">
        <f t="shared" si="3"/>
        <v>0</v>
      </c>
    </row>
    <row r="23" spans="2:9" x14ac:dyDescent="0.25">
      <c r="B23" s="9">
        <v>20</v>
      </c>
      <c r="C23" s="10">
        <f>'[21]Estimasi NPHR'!C23</f>
        <v>4167.2746625258796</v>
      </c>
      <c r="D23" s="11">
        <f>'[21]Estimasi NPHR'!D23</f>
        <v>0</v>
      </c>
      <c r="E23" s="12">
        <f>'[21]Coal Blend'!BV311</f>
        <v>0.35000000000000003</v>
      </c>
      <c r="F23" s="12">
        <f t="shared" si="0"/>
        <v>0.64999999999999991</v>
      </c>
      <c r="G23" s="13">
        <f t="shared" si="1"/>
        <v>0</v>
      </c>
      <c r="H23" s="13">
        <f t="shared" si="2"/>
        <v>0</v>
      </c>
      <c r="I23" s="13">
        <f t="shared" si="3"/>
        <v>0</v>
      </c>
    </row>
    <row r="24" spans="2:9" x14ac:dyDescent="0.25">
      <c r="B24" s="9">
        <v>21</v>
      </c>
      <c r="C24" s="10">
        <f>'[21]Estimasi NPHR'!C24</f>
        <v>3620.5341955279014</v>
      </c>
      <c r="D24" s="11">
        <f>'[21]Estimasi NPHR'!D24</f>
        <v>0</v>
      </c>
      <c r="E24" s="12">
        <f>'[21]Coal Blend'!BV327</f>
        <v>0.33333333333333331</v>
      </c>
      <c r="F24" s="12">
        <f t="shared" si="0"/>
        <v>0.66666666666666674</v>
      </c>
      <c r="G24" s="13">
        <f t="shared" si="1"/>
        <v>0</v>
      </c>
      <c r="H24" s="13">
        <f t="shared" si="2"/>
        <v>0</v>
      </c>
      <c r="I24" s="13">
        <f t="shared" si="3"/>
        <v>0</v>
      </c>
    </row>
    <row r="25" spans="2:9" x14ac:dyDescent="0.25">
      <c r="B25" s="9">
        <v>22</v>
      </c>
      <c r="C25" s="10">
        <f>'[21]Estimasi NPHR'!C25</f>
        <v>4317.4444444444443</v>
      </c>
      <c r="D25" s="11">
        <f>'[21]Estimasi NPHR'!D25</f>
        <v>0</v>
      </c>
      <c r="E25" s="12">
        <f>'[21]Coal Blend'!BV343</f>
        <v>0.93333333333333324</v>
      </c>
      <c r="F25" s="12">
        <f t="shared" si="0"/>
        <v>6.6666666666666763E-2</v>
      </c>
      <c r="G25" s="13">
        <f t="shared" si="1"/>
        <v>0</v>
      </c>
      <c r="H25" s="13">
        <f t="shared" si="2"/>
        <v>0</v>
      </c>
      <c r="I25" s="13">
        <f t="shared" si="3"/>
        <v>0</v>
      </c>
    </row>
    <row r="26" spans="2:9" x14ac:dyDescent="0.25">
      <c r="B26" s="9">
        <v>23</v>
      </c>
      <c r="C26" s="10">
        <f>'[21]Estimasi NPHR'!C26</f>
        <v>4186.7073517786566</v>
      </c>
      <c r="D26" s="11">
        <f>'[21]Estimasi NPHR'!D26</f>
        <v>0</v>
      </c>
      <c r="E26" s="12">
        <f>'[21]Coal Blend'!BV359</f>
        <v>0.56666666666666676</v>
      </c>
      <c r="F26" s="12">
        <f t="shared" si="0"/>
        <v>0.43333333333333324</v>
      </c>
      <c r="G26" s="13">
        <f t="shared" si="1"/>
        <v>0</v>
      </c>
      <c r="H26" s="13">
        <f t="shared" si="2"/>
        <v>0</v>
      </c>
      <c r="I26" s="13">
        <f t="shared" si="3"/>
        <v>0</v>
      </c>
    </row>
    <row r="27" spans="2:9" x14ac:dyDescent="0.25">
      <c r="B27" s="9">
        <v>24</v>
      </c>
      <c r="C27" s="10">
        <f>'[21]Estimasi NPHR'!C27</f>
        <v>4378.3243309887621</v>
      </c>
      <c r="D27" s="11">
        <f>'[21]Estimasi NPHR'!D27</f>
        <v>0</v>
      </c>
      <c r="E27" s="12">
        <f>'[21]Coal Blend'!BV375</f>
        <v>1</v>
      </c>
      <c r="F27" s="12">
        <f t="shared" si="0"/>
        <v>0</v>
      </c>
      <c r="G27" s="13">
        <f t="shared" si="1"/>
        <v>0</v>
      </c>
      <c r="H27" s="13">
        <f t="shared" si="2"/>
        <v>0</v>
      </c>
      <c r="I27" s="13">
        <f t="shared" si="3"/>
        <v>0</v>
      </c>
    </row>
    <row r="28" spans="2:9" x14ac:dyDescent="0.25">
      <c r="B28" s="9">
        <v>25</v>
      </c>
      <c r="C28" s="10">
        <f>'[21]Estimasi NPHR'!C28</f>
        <v>4171.4186357640856</v>
      </c>
      <c r="D28" s="11">
        <f>'[21]Estimasi NPHR'!D28</f>
        <v>0</v>
      </c>
      <c r="E28" s="12">
        <f>'[21]Coal Blend'!BV391</f>
        <v>0.33333333333333331</v>
      </c>
      <c r="F28" s="12">
        <f t="shared" si="0"/>
        <v>0.66666666666666674</v>
      </c>
      <c r="G28" s="13">
        <f t="shared" si="1"/>
        <v>0</v>
      </c>
      <c r="H28" s="13">
        <f t="shared" si="2"/>
        <v>0</v>
      </c>
      <c r="I28" s="13">
        <f t="shared" si="3"/>
        <v>0</v>
      </c>
    </row>
    <row r="29" spans="2:9" x14ac:dyDescent="0.25">
      <c r="B29" s="9">
        <v>26</v>
      </c>
      <c r="C29" s="10">
        <f>'[21]Estimasi NPHR'!C29</f>
        <v>4040.9032991376748</v>
      </c>
      <c r="D29" s="11">
        <f>'[21]Estimasi NPHR'!D29</f>
        <v>0</v>
      </c>
      <c r="E29" s="12">
        <f>'[21]Coal Blend'!BV407</f>
        <v>0.28333333333333338</v>
      </c>
      <c r="F29" s="12">
        <f t="shared" si="0"/>
        <v>0.71666666666666656</v>
      </c>
      <c r="G29" s="13">
        <f t="shared" si="1"/>
        <v>0</v>
      </c>
      <c r="H29" s="13">
        <f t="shared" si="2"/>
        <v>0</v>
      </c>
      <c r="I29" s="13">
        <f t="shared" si="3"/>
        <v>0</v>
      </c>
    </row>
    <row r="30" spans="2:9" x14ac:dyDescent="0.25">
      <c r="B30" s="9">
        <v>27</v>
      </c>
      <c r="C30" s="10">
        <f>'[21]Estimasi NPHR'!C30</f>
        <v>3892.5505494505496</v>
      </c>
      <c r="D30" s="11">
        <f>'[21]Estimasi NPHR'!D30</f>
        <v>0</v>
      </c>
      <c r="E30" s="12">
        <f>'[21]Coal Blend'!BV423</f>
        <v>0</v>
      </c>
      <c r="F30" s="12">
        <f t="shared" si="0"/>
        <v>1</v>
      </c>
      <c r="G30" s="13">
        <f t="shared" si="1"/>
        <v>0</v>
      </c>
      <c r="H30" s="13">
        <f t="shared" si="2"/>
        <v>0</v>
      </c>
      <c r="I30" s="13">
        <f t="shared" si="3"/>
        <v>0</v>
      </c>
    </row>
    <row r="31" spans="2:9" x14ac:dyDescent="0.25">
      <c r="B31" s="9">
        <v>28</v>
      </c>
      <c r="C31" s="10">
        <f>'[21]Estimasi NPHR'!C31</f>
        <v>3666.4839420289859</v>
      </c>
      <c r="D31" s="11">
        <f>'[21]Estimasi NPHR'!D31</f>
        <v>0</v>
      </c>
      <c r="E31" s="12">
        <f>'[21]Coal Blend'!BV439</f>
        <v>0</v>
      </c>
      <c r="F31" s="12">
        <f t="shared" si="0"/>
        <v>1</v>
      </c>
      <c r="G31" s="13">
        <f t="shared" si="1"/>
        <v>0</v>
      </c>
      <c r="H31" s="13">
        <f t="shared" si="2"/>
        <v>0</v>
      </c>
      <c r="I31" s="13">
        <f t="shared" si="3"/>
        <v>0</v>
      </c>
    </row>
    <row r="32" spans="2:9" x14ac:dyDescent="0.25">
      <c r="B32" s="9">
        <v>29</v>
      </c>
      <c r="C32" s="10">
        <f>'[21]Estimasi NPHR'!C32</f>
        <v>4126.583333333333</v>
      </c>
      <c r="D32" s="11">
        <f>'[21]Estimasi NPHR'!D32</f>
        <v>0</v>
      </c>
      <c r="E32" s="12">
        <f>'[21]Coal Blend'!BV455</f>
        <v>0.16666666666666666</v>
      </c>
      <c r="F32" s="12">
        <f t="shared" si="0"/>
        <v>0.83333333333333337</v>
      </c>
      <c r="G32" s="13">
        <f t="shared" si="1"/>
        <v>0</v>
      </c>
      <c r="H32" s="13">
        <f t="shared" si="2"/>
        <v>0</v>
      </c>
      <c r="I32" s="13">
        <f t="shared" si="3"/>
        <v>0</v>
      </c>
    </row>
    <row r="33" spans="2:9" ht="15.75" thickBot="1" x14ac:dyDescent="0.3">
      <c r="B33" s="9">
        <v>30</v>
      </c>
      <c r="C33" s="10">
        <f>'[21]Estimasi NPHR'!C33</f>
        <v>4221.0781893004123</v>
      </c>
      <c r="D33" s="11">
        <f>'[21]Estimasi NPHR'!D33</f>
        <v>0</v>
      </c>
      <c r="E33" s="12">
        <f>'[21]Coal Blend'!BV471</f>
        <v>0.51666666666666672</v>
      </c>
      <c r="F33" s="12">
        <f t="shared" si="0"/>
        <v>0.48333333333333328</v>
      </c>
      <c r="G33" s="13">
        <f t="shared" si="1"/>
        <v>0</v>
      </c>
      <c r="H33" s="13">
        <f t="shared" si="2"/>
        <v>0</v>
      </c>
      <c r="I33" s="13">
        <f t="shared" si="3"/>
        <v>0</v>
      </c>
    </row>
    <row r="34" spans="2:9" ht="15.75" thickBot="1" x14ac:dyDescent="0.3">
      <c r="B34" s="14"/>
      <c r="C34" s="15">
        <f>IF(D34=0,0,I34/D34)</f>
        <v>0</v>
      </c>
      <c r="D34" s="16">
        <f>SUM(D4:D33)</f>
        <v>0</v>
      </c>
      <c r="E34" s="16"/>
      <c r="F34" s="16"/>
      <c r="G34" s="16">
        <f>SUM(G4:G33)</f>
        <v>0</v>
      </c>
      <c r="H34" s="16">
        <f>SUM(H4:H33)</f>
        <v>0</v>
      </c>
      <c r="I34" s="17">
        <f>SUM(I4:I33)</f>
        <v>0</v>
      </c>
    </row>
    <row r="35" spans="2:9" x14ac:dyDescent="0.25">
      <c r="D35" s="18">
        <f>MAX(D4:D33)</f>
        <v>0</v>
      </c>
    </row>
  </sheetData>
  <mergeCells count="2">
    <mergeCell ref="B2:B3"/>
    <mergeCell ref="C2:I2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F449D-FBC9-4A1E-9499-E1417203A362}">
  <dimension ref="B1:I35"/>
  <sheetViews>
    <sheetView workbookViewId="0">
      <selection activeCell="Q35" sqref="Q35"/>
    </sheetView>
  </sheetViews>
  <sheetFormatPr defaultRowHeight="15" x14ac:dyDescent="0.25"/>
  <cols>
    <col min="2" max="2" width="8.5703125" bestFit="1" customWidth="1"/>
    <col min="3" max="3" width="9.5703125" bestFit="1" customWidth="1"/>
    <col min="4" max="4" width="11.5703125" bestFit="1" customWidth="1"/>
    <col min="5" max="6" width="5.5703125" bestFit="1" customWidth="1"/>
    <col min="7" max="8" width="10.5703125" bestFit="1" customWidth="1"/>
    <col min="9" max="9" width="12.5703125" bestFit="1" customWidth="1"/>
  </cols>
  <sheetData>
    <row r="1" spans="2:9" ht="15.75" thickBot="1" x14ac:dyDescent="0.3"/>
    <row r="2" spans="2:9" ht="16.5" thickBot="1" x14ac:dyDescent="0.3">
      <c r="B2" s="1" t="s">
        <v>6</v>
      </c>
      <c r="C2" s="2" t="s">
        <v>5</v>
      </c>
      <c r="D2" s="3"/>
      <c r="E2" s="3"/>
      <c r="F2" s="3"/>
      <c r="G2" s="3"/>
      <c r="H2" s="3"/>
      <c r="I2" s="4"/>
    </row>
    <row r="3" spans="2:9" ht="16.5" thickBot="1" x14ac:dyDescent="0.3">
      <c r="B3" s="5"/>
      <c r="C3" s="6" t="s">
        <v>4</v>
      </c>
      <c r="D3" s="7" t="s">
        <v>0</v>
      </c>
      <c r="E3" s="8" t="s">
        <v>1</v>
      </c>
      <c r="F3" s="8" t="s">
        <v>2</v>
      </c>
      <c r="G3" s="8" t="s">
        <v>1</v>
      </c>
      <c r="H3" s="8" t="s">
        <v>2</v>
      </c>
      <c r="I3" s="8" t="s">
        <v>3</v>
      </c>
    </row>
    <row r="4" spans="2:9" x14ac:dyDescent="0.25">
      <c r="B4" s="9">
        <v>1</v>
      </c>
      <c r="C4" s="10">
        <f>'[22]Estimasi NPHR'!C4</f>
        <v>3840.9754040227876</v>
      </c>
      <c r="D4" s="11">
        <f>'[22]Estimasi NPHR'!D4</f>
        <v>0</v>
      </c>
      <c r="E4" s="12">
        <f>'[22]Coal Blend'!BV7</f>
        <v>0.60833333333333328</v>
      </c>
      <c r="F4" s="12">
        <f>1-E4</f>
        <v>0.39166666666666672</v>
      </c>
      <c r="G4" s="13">
        <f>_xlfn.IFNA(E4*D4,0)</f>
        <v>0</v>
      </c>
      <c r="H4" s="13">
        <f>_xlfn.IFNA(F4*D4,0)</f>
        <v>0</v>
      </c>
      <c r="I4" s="13">
        <f>C4*D4</f>
        <v>0</v>
      </c>
    </row>
    <row r="5" spans="2:9" x14ac:dyDescent="0.25">
      <c r="B5" s="9">
        <v>2</v>
      </c>
      <c r="C5" s="10">
        <f>'[22]Estimasi NPHR'!C5</f>
        <v>3933.4428768597804</v>
      </c>
      <c r="D5" s="11">
        <f>'[22]Estimasi NPHR'!D5</f>
        <v>0</v>
      </c>
      <c r="E5" s="12">
        <f>'[22]Coal Blend'!BV23</f>
        <v>0.3</v>
      </c>
      <c r="F5" s="12">
        <f t="shared" ref="F5:F33" si="0">1-E5</f>
        <v>0.7</v>
      </c>
      <c r="G5" s="13">
        <f t="shared" ref="G5:G33" si="1">_xlfn.IFNA(E5*D5,0)</f>
        <v>0</v>
      </c>
      <c r="H5" s="13">
        <f t="shared" ref="H5:H33" si="2">_xlfn.IFNA(F5*D5,0)</f>
        <v>0</v>
      </c>
      <c r="I5" s="13">
        <f t="shared" ref="I5:I33" si="3">C5*D5</f>
        <v>0</v>
      </c>
    </row>
    <row r="6" spans="2:9" x14ac:dyDescent="0.25">
      <c r="B6" s="9">
        <v>3</v>
      </c>
      <c r="C6" s="10">
        <f>'[22]Estimasi NPHR'!C6</f>
        <v>4087.0590909090902</v>
      </c>
      <c r="D6" s="11">
        <f>'[22]Estimasi NPHR'!D6</f>
        <v>0</v>
      </c>
      <c r="E6" s="12">
        <f>'[22]Coal Blend'!BV39</f>
        <v>0.25</v>
      </c>
      <c r="F6" s="12">
        <f t="shared" si="0"/>
        <v>0.75</v>
      </c>
      <c r="G6" s="13">
        <f t="shared" si="1"/>
        <v>0</v>
      </c>
      <c r="H6" s="13">
        <f t="shared" si="2"/>
        <v>0</v>
      </c>
      <c r="I6" s="13">
        <f t="shared" si="3"/>
        <v>0</v>
      </c>
    </row>
    <row r="7" spans="2:9" x14ac:dyDescent="0.25">
      <c r="B7" s="9">
        <v>4</v>
      </c>
      <c r="C7" s="10">
        <f>'[22]Estimasi NPHR'!C7</f>
        <v>3872.7864135021096</v>
      </c>
      <c r="D7" s="11">
        <f>'[22]Estimasi NPHR'!D7</f>
        <v>0</v>
      </c>
      <c r="E7" s="12">
        <f>'[22]Coal Blend'!BV55</f>
        <v>0.11666666666666665</v>
      </c>
      <c r="F7" s="12">
        <f t="shared" si="0"/>
        <v>0.8833333333333333</v>
      </c>
      <c r="G7" s="13">
        <f t="shared" si="1"/>
        <v>0</v>
      </c>
      <c r="H7" s="13">
        <f t="shared" si="2"/>
        <v>0</v>
      </c>
      <c r="I7" s="13">
        <f t="shared" si="3"/>
        <v>0</v>
      </c>
    </row>
    <row r="8" spans="2:9" x14ac:dyDescent="0.25">
      <c r="B8" s="9">
        <v>5</v>
      </c>
      <c r="C8" s="10">
        <f>'[22]Estimasi NPHR'!C8</f>
        <v>4078.0719298245608</v>
      </c>
      <c r="D8" s="11">
        <f>'[22]Estimasi NPHR'!D8</f>
        <v>0</v>
      </c>
      <c r="E8" s="12">
        <f>'[22]Coal Blend'!BV71</f>
        <v>9.9999999999999992E-2</v>
      </c>
      <c r="F8" s="12">
        <f t="shared" si="0"/>
        <v>0.9</v>
      </c>
      <c r="G8" s="13">
        <f t="shared" si="1"/>
        <v>0</v>
      </c>
      <c r="H8" s="13">
        <f t="shared" si="2"/>
        <v>0</v>
      </c>
      <c r="I8" s="13">
        <f t="shared" si="3"/>
        <v>0</v>
      </c>
    </row>
    <row r="9" spans="2:9" x14ac:dyDescent="0.25">
      <c r="B9" s="9">
        <v>6</v>
      </c>
      <c r="C9" s="10">
        <f>'[22]Estimasi NPHR'!C9</f>
        <v>4082.9575757575753</v>
      </c>
      <c r="D9" s="11">
        <f>'[22]Estimasi NPHR'!D9</f>
        <v>0</v>
      </c>
      <c r="E9" s="12">
        <f>'[22]Coal Blend'!BV87</f>
        <v>9.9999999999999992E-2</v>
      </c>
      <c r="F9" s="12">
        <f t="shared" si="0"/>
        <v>0.9</v>
      </c>
      <c r="G9" s="13">
        <f t="shared" si="1"/>
        <v>0</v>
      </c>
      <c r="H9" s="13">
        <f t="shared" si="2"/>
        <v>0</v>
      </c>
      <c r="I9" s="13">
        <f t="shared" si="3"/>
        <v>0</v>
      </c>
    </row>
    <row r="10" spans="2:9" x14ac:dyDescent="0.25">
      <c r="B10" s="9">
        <v>7</v>
      </c>
      <c r="C10" s="10">
        <f>'[22]Estimasi NPHR'!C10</f>
        <v>3999.0125943396229</v>
      </c>
      <c r="D10" s="11">
        <f>'[22]Estimasi NPHR'!D10</f>
        <v>0</v>
      </c>
      <c r="E10" s="12">
        <f>'[22]Coal Blend'!BV103</f>
        <v>0</v>
      </c>
      <c r="F10" s="12">
        <f t="shared" si="0"/>
        <v>1</v>
      </c>
      <c r="G10" s="13">
        <f t="shared" si="1"/>
        <v>0</v>
      </c>
      <c r="H10" s="13">
        <f t="shared" si="2"/>
        <v>0</v>
      </c>
      <c r="I10" s="13">
        <f t="shared" si="3"/>
        <v>0</v>
      </c>
    </row>
    <row r="11" spans="2:9" x14ac:dyDescent="0.25">
      <c r="B11" s="9">
        <v>8</v>
      </c>
      <c r="C11" s="10">
        <f>'[22]Estimasi NPHR'!C11</f>
        <v>4038.8784186502903</v>
      </c>
      <c r="D11" s="11">
        <f>'[22]Estimasi NPHR'!D11</f>
        <v>0</v>
      </c>
      <c r="E11" s="12">
        <f>'[22]Coal Blend'!BV119</f>
        <v>0.29166666666666669</v>
      </c>
      <c r="F11" s="12">
        <f t="shared" si="0"/>
        <v>0.70833333333333326</v>
      </c>
      <c r="G11" s="13">
        <f t="shared" si="1"/>
        <v>0</v>
      </c>
      <c r="H11" s="13">
        <f t="shared" si="2"/>
        <v>0</v>
      </c>
      <c r="I11" s="13">
        <f t="shared" si="3"/>
        <v>0</v>
      </c>
    </row>
    <row r="12" spans="2:9" x14ac:dyDescent="0.25">
      <c r="B12" s="9">
        <v>9</v>
      </c>
      <c r="C12" s="10">
        <f>'[22]Estimasi NPHR'!C12</f>
        <v>4093.7586147511633</v>
      </c>
      <c r="D12" s="11">
        <f>'[22]Estimasi NPHR'!D12</f>
        <v>0</v>
      </c>
      <c r="E12" s="12">
        <f>'[22]Coal Blend'!BV135</f>
        <v>0.27499999999999997</v>
      </c>
      <c r="F12" s="12">
        <f t="shared" si="0"/>
        <v>0.72500000000000009</v>
      </c>
      <c r="G12" s="13">
        <f t="shared" si="1"/>
        <v>0</v>
      </c>
      <c r="H12" s="13">
        <f t="shared" si="2"/>
        <v>0</v>
      </c>
      <c r="I12" s="13">
        <f t="shared" si="3"/>
        <v>0</v>
      </c>
    </row>
    <row r="13" spans="2:9" x14ac:dyDescent="0.25">
      <c r="B13" s="9">
        <v>10</v>
      </c>
      <c r="C13" s="10">
        <f>'[22]Estimasi NPHR'!C13</f>
        <v>4349.0234782608695</v>
      </c>
      <c r="D13" s="11">
        <f>'[22]Estimasi NPHR'!D13</f>
        <v>0</v>
      </c>
      <c r="E13" s="12">
        <f>'[22]Coal Blend'!BV151</f>
        <v>0.39999999999999997</v>
      </c>
      <c r="F13" s="12">
        <f t="shared" si="0"/>
        <v>0.60000000000000009</v>
      </c>
      <c r="G13" s="13">
        <f t="shared" si="1"/>
        <v>0</v>
      </c>
      <c r="H13" s="13">
        <f t="shared" si="2"/>
        <v>0</v>
      </c>
      <c r="I13" s="13">
        <f t="shared" si="3"/>
        <v>0</v>
      </c>
    </row>
    <row r="14" spans="2:9" x14ac:dyDescent="0.25">
      <c r="B14" s="9">
        <v>11</v>
      </c>
      <c r="C14" s="10">
        <f>'[22]Estimasi NPHR'!C14</f>
        <v>4284.517900509205</v>
      </c>
      <c r="D14" s="11">
        <f>'[22]Estimasi NPHR'!D14</f>
        <v>0</v>
      </c>
      <c r="E14" s="12">
        <f>'[22]Coal Blend'!BV167</f>
        <v>0.19999999999999998</v>
      </c>
      <c r="F14" s="12">
        <f t="shared" si="0"/>
        <v>0.8</v>
      </c>
      <c r="G14" s="13">
        <f t="shared" si="1"/>
        <v>0</v>
      </c>
      <c r="H14" s="13">
        <f t="shared" si="2"/>
        <v>0</v>
      </c>
      <c r="I14" s="13">
        <f t="shared" si="3"/>
        <v>0</v>
      </c>
    </row>
    <row r="15" spans="2:9" x14ac:dyDescent="0.25">
      <c r="B15" s="9">
        <v>12</v>
      </c>
      <c r="C15" s="10">
        <f>'[22]Estimasi NPHR'!C15</f>
        <v>4026.786126154826</v>
      </c>
      <c r="D15" s="11">
        <f>'[22]Estimasi NPHR'!D15</f>
        <v>0</v>
      </c>
      <c r="E15" s="12">
        <f>'[22]Coal Blend'!BV183</f>
        <v>0.25</v>
      </c>
      <c r="F15" s="12">
        <f t="shared" si="0"/>
        <v>0.75</v>
      </c>
      <c r="G15" s="13">
        <f t="shared" si="1"/>
        <v>0</v>
      </c>
      <c r="H15" s="13">
        <f t="shared" si="2"/>
        <v>0</v>
      </c>
      <c r="I15" s="13">
        <f t="shared" si="3"/>
        <v>0</v>
      </c>
    </row>
    <row r="16" spans="2:9" x14ac:dyDescent="0.25">
      <c r="B16" s="9">
        <v>13</v>
      </c>
      <c r="C16" s="10">
        <f>'[22]Estimasi NPHR'!C16</f>
        <v>4061.4484848484844</v>
      </c>
      <c r="D16" s="11">
        <f>'[22]Estimasi NPHR'!D16</f>
        <v>0</v>
      </c>
      <c r="E16" s="12">
        <f>'[22]Coal Blend'!BV199</f>
        <v>0.15</v>
      </c>
      <c r="F16" s="12">
        <f t="shared" si="0"/>
        <v>0.85</v>
      </c>
      <c r="G16" s="13">
        <f t="shared" si="1"/>
        <v>0</v>
      </c>
      <c r="H16" s="13">
        <f t="shared" si="2"/>
        <v>0</v>
      </c>
      <c r="I16" s="13">
        <f t="shared" si="3"/>
        <v>0</v>
      </c>
    </row>
    <row r="17" spans="2:9" x14ac:dyDescent="0.25">
      <c r="B17" s="9">
        <v>14</v>
      </c>
      <c r="C17" s="10">
        <f>'[22]Estimasi NPHR'!C17</f>
        <v>4161.6030303030302</v>
      </c>
      <c r="D17" s="11">
        <f>'[22]Estimasi NPHR'!D17</f>
        <v>0</v>
      </c>
      <c r="E17" s="12">
        <f>'[22]Coal Blend'!BV215</f>
        <v>0.28333333333333333</v>
      </c>
      <c r="F17" s="12">
        <f t="shared" si="0"/>
        <v>0.71666666666666667</v>
      </c>
      <c r="G17" s="13">
        <f t="shared" si="1"/>
        <v>0</v>
      </c>
      <c r="H17" s="13">
        <f t="shared" si="2"/>
        <v>0</v>
      </c>
      <c r="I17" s="13">
        <f t="shared" si="3"/>
        <v>0</v>
      </c>
    </row>
    <row r="18" spans="2:9" x14ac:dyDescent="0.25">
      <c r="B18" s="9">
        <v>15</v>
      </c>
      <c r="C18" s="10">
        <f>'[22]Estimasi NPHR'!C18</f>
        <v>4198.4781336502829</v>
      </c>
      <c r="D18" s="11">
        <f>'[22]Estimasi NPHR'!D18</f>
        <v>0</v>
      </c>
      <c r="E18" s="12">
        <f>'[22]Coal Blend'!BV231</f>
        <v>0.54999999999999993</v>
      </c>
      <c r="F18" s="12">
        <f t="shared" si="0"/>
        <v>0.45000000000000007</v>
      </c>
      <c r="G18" s="13">
        <f t="shared" si="1"/>
        <v>0</v>
      </c>
      <c r="H18" s="13">
        <f t="shared" si="2"/>
        <v>0</v>
      </c>
      <c r="I18" s="13">
        <f t="shared" si="3"/>
        <v>0</v>
      </c>
    </row>
    <row r="19" spans="2:9" x14ac:dyDescent="0.25">
      <c r="B19" s="9">
        <v>16</v>
      </c>
      <c r="C19" s="10">
        <f>'[22]Estimasi NPHR'!C19</f>
        <v>4325.0405000000001</v>
      </c>
      <c r="D19" s="11">
        <f>'[22]Estimasi NPHR'!D19</f>
        <v>0</v>
      </c>
      <c r="E19" s="12">
        <f>'[22]Coal Blend'!BV247</f>
        <v>0.4916666666666667</v>
      </c>
      <c r="F19" s="12">
        <f t="shared" si="0"/>
        <v>0.5083333333333333</v>
      </c>
      <c r="G19" s="13">
        <f t="shared" si="1"/>
        <v>0</v>
      </c>
      <c r="H19" s="13">
        <f t="shared" si="2"/>
        <v>0</v>
      </c>
      <c r="I19" s="13">
        <f t="shared" si="3"/>
        <v>0</v>
      </c>
    </row>
    <row r="20" spans="2:9" x14ac:dyDescent="0.25">
      <c r="B20" s="9">
        <v>17</v>
      </c>
      <c r="C20" s="10">
        <f>'[22]Estimasi NPHR'!C20</f>
        <v>4326.2950626959246</v>
      </c>
      <c r="D20" s="11">
        <f>'[22]Estimasi NPHR'!D20</f>
        <v>0</v>
      </c>
      <c r="E20" s="12">
        <f>'[22]Coal Blend'!BV263</f>
        <v>0.53333333333333333</v>
      </c>
      <c r="F20" s="12">
        <f t="shared" si="0"/>
        <v>0.46666666666666667</v>
      </c>
      <c r="G20" s="13">
        <f t="shared" si="1"/>
        <v>0</v>
      </c>
      <c r="H20" s="13">
        <f t="shared" si="2"/>
        <v>0</v>
      </c>
      <c r="I20" s="13">
        <f t="shared" si="3"/>
        <v>0</v>
      </c>
    </row>
    <row r="21" spans="2:9" x14ac:dyDescent="0.25">
      <c r="B21" s="9">
        <v>18</v>
      </c>
      <c r="C21" s="10">
        <f>'[22]Estimasi NPHR'!C21</f>
        <v>4200.4862542955325</v>
      </c>
      <c r="D21" s="11">
        <f>'[22]Estimasi NPHR'!D21</f>
        <v>0</v>
      </c>
      <c r="E21" s="12">
        <f>'[22]Coal Blend'!BV279</f>
        <v>0.23333333333333331</v>
      </c>
      <c r="F21" s="12">
        <f t="shared" si="0"/>
        <v>0.76666666666666672</v>
      </c>
      <c r="G21" s="13">
        <f t="shared" si="1"/>
        <v>0</v>
      </c>
      <c r="H21" s="13">
        <f t="shared" si="2"/>
        <v>0</v>
      </c>
      <c r="I21" s="13">
        <f t="shared" si="3"/>
        <v>0</v>
      </c>
    </row>
    <row r="22" spans="2:9" x14ac:dyDescent="0.25">
      <c r="B22" s="9">
        <v>19</v>
      </c>
      <c r="C22" s="10">
        <f>'[22]Estimasi NPHR'!C22</f>
        <v>4194.8956618589737</v>
      </c>
      <c r="D22" s="11">
        <f>'[22]Estimasi NPHR'!D22</f>
        <v>0</v>
      </c>
      <c r="E22" s="12">
        <f>'[22]Coal Blend'!BV295</f>
        <v>0.30833333333333335</v>
      </c>
      <c r="F22" s="12">
        <f t="shared" si="0"/>
        <v>0.69166666666666665</v>
      </c>
      <c r="G22" s="13">
        <f t="shared" si="1"/>
        <v>0</v>
      </c>
      <c r="H22" s="13">
        <f t="shared" si="2"/>
        <v>0</v>
      </c>
      <c r="I22" s="13">
        <f t="shared" si="3"/>
        <v>0</v>
      </c>
    </row>
    <row r="23" spans="2:9" x14ac:dyDescent="0.25">
      <c r="B23" s="9">
        <v>20</v>
      </c>
      <c r="C23" s="10">
        <f>'[22]Estimasi NPHR'!C23</f>
        <v>4318.3469333333333</v>
      </c>
      <c r="D23" s="11">
        <f>'[22]Estimasi NPHR'!D23</f>
        <v>0</v>
      </c>
      <c r="E23" s="12">
        <f>'[22]Coal Blend'!BV311</f>
        <v>0.375</v>
      </c>
      <c r="F23" s="12">
        <f t="shared" si="0"/>
        <v>0.625</v>
      </c>
      <c r="G23" s="13">
        <f t="shared" si="1"/>
        <v>0</v>
      </c>
      <c r="H23" s="13">
        <f t="shared" si="2"/>
        <v>0</v>
      </c>
      <c r="I23" s="13">
        <f t="shared" si="3"/>
        <v>0</v>
      </c>
    </row>
    <row r="24" spans="2:9" x14ac:dyDescent="0.25">
      <c r="B24" s="9">
        <v>21</v>
      </c>
      <c r="C24" s="10">
        <f>'[22]Estimasi NPHR'!C24</f>
        <v>4300.0508009153318</v>
      </c>
      <c r="D24" s="11">
        <f>'[22]Estimasi NPHR'!D24</f>
        <v>0</v>
      </c>
      <c r="E24" s="12">
        <f>'[22]Coal Blend'!BV327</f>
        <v>0.39999999999999997</v>
      </c>
      <c r="F24" s="12">
        <f t="shared" si="0"/>
        <v>0.60000000000000009</v>
      </c>
      <c r="G24" s="13">
        <f t="shared" si="1"/>
        <v>0</v>
      </c>
      <c r="H24" s="13">
        <f t="shared" si="2"/>
        <v>0</v>
      </c>
      <c r="I24" s="13">
        <f t="shared" si="3"/>
        <v>0</v>
      </c>
    </row>
    <row r="25" spans="2:9" x14ac:dyDescent="0.25">
      <c r="B25" s="9">
        <v>22</v>
      </c>
      <c r="C25" s="10">
        <f>'[22]Estimasi NPHR'!C25</f>
        <v>4278.8212885154062</v>
      </c>
      <c r="D25" s="11">
        <f>'[22]Estimasi NPHR'!D25</f>
        <v>0</v>
      </c>
      <c r="E25" s="12">
        <f>'[22]Coal Blend'!BV343</f>
        <v>0.48333333333333334</v>
      </c>
      <c r="F25" s="12">
        <f t="shared" si="0"/>
        <v>0.51666666666666661</v>
      </c>
      <c r="G25" s="13">
        <f t="shared" si="1"/>
        <v>0</v>
      </c>
      <c r="H25" s="13">
        <f t="shared" si="2"/>
        <v>0</v>
      </c>
      <c r="I25" s="13">
        <f t="shared" si="3"/>
        <v>0</v>
      </c>
    </row>
    <row r="26" spans="2:9" x14ac:dyDescent="0.25">
      <c r="B26" s="9">
        <v>23</v>
      </c>
      <c r="C26" s="10">
        <f>'[22]Estimasi NPHR'!C26</f>
        <v>4287.0551111111117</v>
      </c>
      <c r="D26" s="11">
        <f>'[22]Estimasi NPHR'!D26</f>
        <v>0</v>
      </c>
      <c r="E26" s="12">
        <f>'[22]Coal Blend'!BV359</f>
        <v>0.2416666666666667</v>
      </c>
      <c r="F26" s="12">
        <f t="shared" si="0"/>
        <v>0.7583333333333333</v>
      </c>
      <c r="G26" s="13">
        <f t="shared" si="1"/>
        <v>0</v>
      </c>
      <c r="H26" s="13">
        <f t="shared" si="2"/>
        <v>0</v>
      </c>
      <c r="I26" s="13">
        <f t="shared" si="3"/>
        <v>0</v>
      </c>
    </row>
    <row r="27" spans="2:9" x14ac:dyDescent="0.25">
      <c r="B27" s="9">
        <v>24</v>
      </c>
      <c r="C27" s="10">
        <f>'[22]Estimasi NPHR'!C27</f>
        <v>4204.206871345029</v>
      </c>
      <c r="D27" s="11">
        <f>'[22]Estimasi NPHR'!D27</f>
        <v>0</v>
      </c>
      <c r="E27" s="12">
        <f>'[22]Coal Blend'!BV375</f>
        <v>9.9999999999999992E-2</v>
      </c>
      <c r="F27" s="12">
        <f t="shared" si="0"/>
        <v>0.9</v>
      </c>
      <c r="G27" s="13">
        <f t="shared" si="1"/>
        <v>0</v>
      </c>
      <c r="H27" s="13">
        <f t="shared" si="2"/>
        <v>0</v>
      </c>
      <c r="I27" s="13">
        <f t="shared" si="3"/>
        <v>0</v>
      </c>
    </row>
    <row r="28" spans="2:9" x14ac:dyDescent="0.25">
      <c r="B28" s="9">
        <v>25</v>
      </c>
      <c r="C28" s="10">
        <f>'[22]Estimasi NPHR'!C28</f>
        <v>4298.1088669108676</v>
      </c>
      <c r="D28" s="11">
        <f>'[22]Estimasi NPHR'!D28</f>
        <v>0</v>
      </c>
      <c r="E28" s="12">
        <f>'[22]Coal Blend'!BV391</f>
        <v>0.48333333333333334</v>
      </c>
      <c r="F28" s="12">
        <f t="shared" si="0"/>
        <v>0.51666666666666661</v>
      </c>
      <c r="G28" s="13">
        <f t="shared" si="1"/>
        <v>0</v>
      </c>
      <c r="H28" s="13">
        <f t="shared" si="2"/>
        <v>0</v>
      </c>
      <c r="I28" s="13">
        <f t="shared" si="3"/>
        <v>0</v>
      </c>
    </row>
    <row r="29" spans="2:9" x14ac:dyDescent="0.25">
      <c r="B29" s="9">
        <v>26</v>
      </c>
      <c r="C29" s="10">
        <f>'[22]Estimasi NPHR'!C29</f>
        <v>4293.8480620155051</v>
      </c>
      <c r="D29" s="11">
        <f>'[22]Estimasi NPHR'!D29</f>
        <v>0</v>
      </c>
      <c r="E29" s="12">
        <f>'[22]Coal Blend'!BV407</f>
        <v>0.28333333333333338</v>
      </c>
      <c r="F29" s="12">
        <f t="shared" si="0"/>
        <v>0.71666666666666656</v>
      </c>
      <c r="G29" s="13">
        <f t="shared" si="1"/>
        <v>0</v>
      </c>
      <c r="H29" s="13">
        <f t="shared" si="2"/>
        <v>0</v>
      </c>
      <c r="I29" s="13">
        <f t="shared" si="3"/>
        <v>0</v>
      </c>
    </row>
    <row r="30" spans="2:9" x14ac:dyDescent="0.25">
      <c r="B30" s="9">
        <v>27</v>
      </c>
      <c r="C30" s="10">
        <f>'[22]Estimasi NPHR'!C30</f>
        <v>4230.4339148232493</v>
      </c>
      <c r="D30" s="11">
        <f>'[22]Estimasi NPHR'!D30</f>
        <v>0</v>
      </c>
      <c r="E30" s="12">
        <f>'[22]Coal Blend'!BV423</f>
        <v>0.38333333333333336</v>
      </c>
      <c r="F30" s="12">
        <f t="shared" si="0"/>
        <v>0.6166666666666667</v>
      </c>
      <c r="G30" s="13">
        <f t="shared" si="1"/>
        <v>0</v>
      </c>
      <c r="H30" s="13">
        <f t="shared" si="2"/>
        <v>0</v>
      </c>
      <c r="I30" s="13">
        <f t="shared" si="3"/>
        <v>0</v>
      </c>
    </row>
    <row r="31" spans="2:9" x14ac:dyDescent="0.25">
      <c r="B31" s="9">
        <v>28</v>
      </c>
      <c r="C31" s="10">
        <f>'[22]Estimasi NPHR'!C31</f>
        <v>4316.9965811965812</v>
      </c>
      <c r="D31" s="11">
        <f>'[22]Estimasi NPHR'!D31</f>
        <v>0</v>
      </c>
      <c r="E31" s="12">
        <f>'[22]Coal Blend'!BV439</f>
        <v>0.5</v>
      </c>
      <c r="F31" s="12">
        <f t="shared" si="0"/>
        <v>0.5</v>
      </c>
      <c r="G31" s="13">
        <f t="shared" si="1"/>
        <v>0</v>
      </c>
      <c r="H31" s="13">
        <f t="shared" si="2"/>
        <v>0</v>
      </c>
      <c r="I31" s="13">
        <f t="shared" si="3"/>
        <v>0</v>
      </c>
    </row>
    <row r="32" spans="2:9" x14ac:dyDescent="0.25">
      <c r="B32" s="9">
        <v>29</v>
      </c>
      <c r="C32" s="10">
        <f>'[22]Estimasi NPHR'!C32</f>
        <v>4098.4337333333333</v>
      </c>
      <c r="D32" s="11">
        <f>'[22]Estimasi NPHR'!D32</f>
        <v>0</v>
      </c>
      <c r="E32" s="12">
        <f>'[22]Coal Blend'!BV455</f>
        <v>0.17500000000000002</v>
      </c>
      <c r="F32" s="12">
        <f t="shared" si="0"/>
        <v>0.82499999999999996</v>
      </c>
      <c r="G32" s="13">
        <f t="shared" si="1"/>
        <v>0</v>
      </c>
      <c r="H32" s="13">
        <f t="shared" si="2"/>
        <v>0</v>
      </c>
      <c r="I32" s="13">
        <f t="shared" si="3"/>
        <v>0</v>
      </c>
    </row>
    <row r="33" spans="2:9" ht="15.75" thickBot="1" x14ac:dyDescent="0.3">
      <c r="B33" s="9">
        <v>30</v>
      </c>
      <c r="C33" s="10">
        <f>'[22]Estimasi NPHR'!C33</f>
        <v>4223.3918367346932</v>
      </c>
      <c r="D33" s="11">
        <f>'[22]Estimasi NPHR'!D33</f>
        <v>0</v>
      </c>
      <c r="E33" s="12">
        <f>'[22]Coal Blend'!BV471</f>
        <v>0.33333333333333331</v>
      </c>
      <c r="F33" s="12">
        <f t="shared" si="0"/>
        <v>0.66666666666666674</v>
      </c>
      <c r="G33" s="13">
        <f t="shared" si="1"/>
        <v>0</v>
      </c>
      <c r="H33" s="13">
        <f t="shared" si="2"/>
        <v>0</v>
      </c>
      <c r="I33" s="13">
        <f t="shared" si="3"/>
        <v>0</v>
      </c>
    </row>
    <row r="34" spans="2:9" ht="15.75" thickBot="1" x14ac:dyDescent="0.3">
      <c r="B34" s="14"/>
      <c r="C34" s="15">
        <f>IF(D34=0,0,I34/D34)</f>
        <v>0</v>
      </c>
      <c r="D34" s="16">
        <f>SUM(D4:D33)</f>
        <v>0</v>
      </c>
      <c r="E34" s="16"/>
      <c r="F34" s="16"/>
      <c r="G34" s="16">
        <f>SUM(G4:G33)</f>
        <v>0</v>
      </c>
      <c r="H34" s="16">
        <f>SUM(H4:H33)</f>
        <v>0</v>
      </c>
      <c r="I34" s="17">
        <f>SUM(I4:I33)</f>
        <v>0</v>
      </c>
    </row>
    <row r="35" spans="2:9" x14ac:dyDescent="0.25">
      <c r="D35" s="18">
        <f>MAX(D4:D33)</f>
        <v>0</v>
      </c>
    </row>
  </sheetData>
  <mergeCells count="2">
    <mergeCell ref="B2:B3"/>
    <mergeCell ref="C2:I2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2F5C9-2707-4321-8D03-D2EE3BDDA684}">
  <dimension ref="B1:I35"/>
  <sheetViews>
    <sheetView tabSelected="1" workbookViewId="0">
      <selection activeCell="O36" sqref="O36"/>
    </sheetView>
  </sheetViews>
  <sheetFormatPr defaultRowHeight="15" x14ac:dyDescent="0.25"/>
  <cols>
    <col min="2" max="2" width="8.5703125" bestFit="1" customWidth="1"/>
    <col min="3" max="3" width="9.5703125" bestFit="1" customWidth="1"/>
    <col min="4" max="4" width="11.5703125" bestFit="1" customWidth="1"/>
    <col min="5" max="6" width="5.5703125" bestFit="1" customWidth="1"/>
    <col min="7" max="8" width="10.5703125" bestFit="1" customWidth="1"/>
    <col min="9" max="9" width="12.5703125" bestFit="1" customWidth="1"/>
  </cols>
  <sheetData>
    <row r="1" spans="2:9" ht="15.75" thickBot="1" x14ac:dyDescent="0.3"/>
    <row r="2" spans="2:9" ht="16.5" thickBot="1" x14ac:dyDescent="0.3">
      <c r="B2" s="1" t="s">
        <v>6</v>
      </c>
      <c r="C2" s="2" t="s">
        <v>5</v>
      </c>
      <c r="D2" s="3"/>
      <c r="E2" s="3"/>
      <c r="F2" s="3"/>
      <c r="G2" s="3"/>
      <c r="H2" s="3"/>
      <c r="I2" s="4"/>
    </row>
    <row r="3" spans="2:9" ht="16.5" thickBot="1" x14ac:dyDescent="0.3">
      <c r="B3" s="5"/>
      <c r="C3" s="6" t="s">
        <v>4</v>
      </c>
      <c r="D3" s="7" t="s">
        <v>0</v>
      </c>
      <c r="E3" s="8" t="s">
        <v>1</v>
      </c>
      <c r="F3" s="8" t="s">
        <v>2</v>
      </c>
      <c r="G3" s="8" t="s">
        <v>1</v>
      </c>
      <c r="H3" s="8" t="s">
        <v>2</v>
      </c>
      <c r="I3" s="8" t="s">
        <v>3</v>
      </c>
    </row>
    <row r="4" spans="2:9" x14ac:dyDescent="0.25">
      <c r="B4" s="9">
        <v>1</v>
      </c>
      <c r="C4" s="10">
        <f>'[23]Estimasi NPHR'!C4</f>
        <v>4187.4241067675493</v>
      </c>
      <c r="D4" s="11">
        <f>'[23]Estimasi NPHR'!D4</f>
        <v>0</v>
      </c>
      <c r="E4" s="12">
        <f>'[23]Coal Blend'!BV7</f>
        <v>0.40833333333333327</v>
      </c>
      <c r="F4" s="12">
        <f>1-E4</f>
        <v>0.59166666666666679</v>
      </c>
      <c r="G4" s="13">
        <f>_xlfn.IFNA(E4*D4,0)</f>
        <v>0</v>
      </c>
      <c r="H4" s="13">
        <f>_xlfn.IFNA(F4*D4,0)</f>
        <v>0</v>
      </c>
      <c r="I4" s="13">
        <f>C4*D4</f>
        <v>0</v>
      </c>
    </row>
    <row r="5" spans="2:9" x14ac:dyDescent="0.25">
      <c r="B5" s="9">
        <v>2</v>
      </c>
      <c r="C5" s="10">
        <f>'[23]Estimasi NPHR'!C5</f>
        <v>4323.7601740890686</v>
      </c>
      <c r="D5" s="11">
        <f>'[23]Estimasi NPHR'!D5</f>
        <v>0</v>
      </c>
      <c r="E5" s="12">
        <f>'[23]Coal Blend'!BV23</f>
        <v>0.25</v>
      </c>
      <c r="F5" s="12">
        <f t="shared" ref="F5:F33" si="0">1-E5</f>
        <v>0.75</v>
      </c>
      <c r="G5" s="13">
        <f t="shared" ref="G5:G33" si="1">_xlfn.IFNA(E5*D5,0)</f>
        <v>0</v>
      </c>
      <c r="H5" s="13">
        <f t="shared" ref="H5:H33" si="2">_xlfn.IFNA(F5*D5,0)</f>
        <v>0</v>
      </c>
      <c r="I5" s="13">
        <f t="shared" ref="I5:I33" si="3">C5*D5</f>
        <v>0</v>
      </c>
    </row>
    <row r="6" spans="2:9" x14ac:dyDescent="0.25">
      <c r="B6" s="9">
        <v>3</v>
      </c>
      <c r="C6" s="10">
        <f>'[23]Estimasi NPHR'!C6</f>
        <v>4088.3676100628927</v>
      </c>
      <c r="D6" s="11">
        <f>'[23]Estimasi NPHR'!D6</f>
        <v>0</v>
      </c>
      <c r="E6" s="12">
        <f>'[23]Coal Blend'!BV39</f>
        <v>0.10833333333333334</v>
      </c>
      <c r="F6" s="12">
        <f t="shared" si="0"/>
        <v>0.89166666666666661</v>
      </c>
      <c r="G6" s="13">
        <f t="shared" si="1"/>
        <v>0</v>
      </c>
      <c r="H6" s="13">
        <f t="shared" si="2"/>
        <v>0</v>
      </c>
      <c r="I6" s="13">
        <f t="shared" si="3"/>
        <v>0</v>
      </c>
    </row>
    <row r="7" spans="2:9" x14ac:dyDescent="0.25">
      <c r="B7" s="9">
        <v>4</v>
      </c>
      <c r="C7" s="10">
        <f>'[23]Estimasi NPHR'!C7</f>
        <v>4154.3423222222218</v>
      </c>
      <c r="D7" s="11">
        <f>'[23]Estimasi NPHR'!D7</f>
        <v>0</v>
      </c>
      <c r="E7" s="12">
        <f>'[23]Coal Blend'!BV55</f>
        <v>0.30833333333333329</v>
      </c>
      <c r="F7" s="12">
        <f t="shared" si="0"/>
        <v>0.69166666666666665</v>
      </c>
      <c r="G7" s="13">
        <f t="shared" si="1"/>
        <v>0</v>
      </c>
      <c r="H7" s="13">
        <f t="shared" si="2"/>
        <v>0</v>
      </c>
      <c r="I7" s="13">
        <f t="shared" si="3"/>
        <v>0</v>
      </c>
    </row>
    <row r="8" spans="2:9" x14ac:dyDescent="0.25">
      <c r="B8" s="9">
        <v>5</v>
      </c>
      <c r="C8" s="10">
        <f>'[23]Estimasi NPHR'!C8</f>
        <v>4271.0666666666666</v>
      </c>
      <c r="D8" s="11">
        <f>'[23]Estimasi NPHR'!D8</f>
        <v>0</v>
      </c>
      <c r="E8" s="12">
        <f>'[23]Coal Blend'!BV71</f>
        <v>0.43333333333333335</v>
      </c>
      <c r="F8" s="12">
        <f t="shared" si="0"/>
        <v>0.56666666666666665</v>
      </c>
      <c r="G8" s="13">
        <f t="shared" si="1"/>
        <v>0</v>
      </c>
      <c r="H8" s="13">
        <f t="shared" si="2"/>
        <v>0</v>
      </c>
      <c r="I8" s="13">
        <f t="shared" si="3"/>
        <v>0</v>
      </c>
    </row>
    <row r="9" spans="2:9" x14ac:dyDescent="0.25">
      <c r="B9" s="9">
        <v>6</v>
      </c>
      <c r="C9" s="10">
        <f>'[23]Estimasi NPHR'!C9</f>
        <v>4303.6843137254909</v>
      </c>
      <c r="D9" s="11">
        <f>'[23]Estimasi NPHR'!D9</f>
        <v>0</v>
      </c>
      <c r="E9" s="12">
        <f>'[23]Coal Blend'!BV87</f>
        <v>0.31666666666666665</v>
      </c>
      <c r="F9" s="12">
        <f t="shared" si="0"/>
        <v>0.68333333333333335</v>
      </c>
      <c r="G9" s="13">
        <f t="shared" si="1"/>
        <v>0</v>
      </c>
      <c r="H9" s="13">
        <f t="shared" si="2"/>
        <v>0</v>
      </c>
      <c r="I9" s="13">
        <f t="shared" si="3"/>
        <v>0</v>
      </c>
    </row>
    <row r="10" spans="2:9" x14ac:dyDescent="0.25">
      <c r="B10" s="9">
        <v>7</v>
      </c>
      <c r="C10" s="10">
        <f>'[23]Estimasi NPHR'!C10</f>
        <v>4383.5013333333336</v>
      </c>
      <c r="D10" s="11">
        <f>'[23]Estimasi NPHR'!D10</f>
        <v>0</v>
      </c>
      <c r="E10" s="12">
        <f>'[23]Coal Blend'!BV103</f>
        <v>0.3666666666666667</v>
      </c>
      <c r="F10" s="12">
        <f t="shared" si="0"/>
        <v>0.6333333333333333</v>
      </c>
      <c r="G10" s="13">
        <f t="shared" si="1"/>
        <v>0</v>
      </c>
      <c r="H10" s="13">
        <f t="shared" si="2"/>
        <v>0</v>
      </c>
      <c r="I10" s="13">
        <f t="shared" si="3"/>
        <v>0</v>
      </c>
    </row>
    <row r="11" spans="2:9" x14ac:dyDescent="0.25">
      <c r="B11" s="9">
        <v>8</v>
      </c>
      <c r="C11" s="10">
        <f>'[23]Estimasi NPHR'!C11</f>
        <v>4248.0166666666664</v>
      </c>
      <c r="D11" s="11">
        <f>'[23]Estimasi NPHR'!D11</f>
        <v>0</v>
      </c>
      <c r="E11" s="12">
        <f>'[23]Coal Blend'!BV119</f>
        <v>9.9999999999999992E-2</v>
      </c>
      <c r="F11" s="12">
        <f t="shared" si="0"/>
        <v>0.9</v>
      </c>
      <c r="G11" s="13">
        <f t="shared" si="1"/>
        <v>0</v>
      </c>
      <c r="H11" s="13">
        <f t="shared" si="2"/>
        <v>0</v>
      </c>
      <c r="I11" s="13">
        <f t="shared" si="3"/>
        <v>0</v>
      </c>
    </row>
    <row r="12" spans="2:9" x14ac:dyDescent="0.25">
      <c r="B12" s="9">
        <v>9</v>
      </c>
      <c r="C12" s="10">
        <f>'[23]Estimasi NPHR'!C12</f>
        <v>4316.9803921568628</v>
      </c>
      <c r="D12" s="11">
        <f>'[23]Estimasi NPHR'!D12</f>
        <v>0</v>
      </c>
      <c r="E12" s="12">
        <f>'[23]Coal Blend'!BV135</f>
        <v>0.16666666666666666</v>
      </c>
      <c r="F12" s="12">
        <f t="shared" si="0"/>
        <v>0.83333333333333337</v>
      </c>
      <c r="G12" s="13">
        <f t="shared" si="1"/>
        <v>0</v>
      </c>
      <c r="H12" s="13">
        <f t="shared" si="2"/>
        <v>0</v>
      </c>
      <c r="I12" s="13">
        <f t="shared" si="3"/>
        <v>0</v>
      </c>
    </row>
    <row r="13" spans="2:9" x14ac:dyDescent="0.25">
      <c r="B13" s="9">
        <v>10</v>
      </c>
      <c r="C13" s="10">
        <f>'[23]Estimasi NPHR'!C13</f>
        <v>4267.0111940298511</v>
      </c>
      <c r="D13" s="11">
        <f>'[23]Estimasi NPHR'!D13</f>
        <v>0</v>
      </c>
      <c r="E13" s="12">
        <f>'[23]Coal Blend'!BV151</f>
        <v>0.28333333333333338</v>
      </c>
      <c r="F13" s="12">
        <f t="shared" si="0"/>
        <v>0.71666666666666656</v>
      </c>
      <c r="G13" s="13">
        <f t="shared" si="1"/>
        <v>0</v>
      </c>
      <c r="H13" s="13">
        <f t="shared" si="2"/>
        <v>0</v>
      </c>
      <c r="I13" s="13">
        <f t="shared" si="3"/>
        <v>0</v>
      </c>
    </row>
    <row r="14" spans="2:9" x14ac:dyDescent="0.25">
      <c r="B14" s="9">
        <v>11</v>
      </c>
      <c r="C14" s="10">
        <f>'[23]Estimasi NPHR'!C14</f>
        <v>4329.385737454304</v>
      </c>
      <c r="D14" s="11">
        <f>'[23]Estimasi NPHR'!D14</f>
        <v>0</v>
      </c>
      <c r="E14" s="12">
        <f>'[23]Coal Blend'!BV167</f>
        <v>0.46666666666666662</v>
      </c>
      <c r="F14" s="12">
        <f t="shared" si="0"/>
        <v>0.53333333333333344</v>
      </c>
      <c r="G14" s="13">
        <f t="shared" si="1"/>
        <v>0</v>
      </c>
      <c r="H14" s="13">
        <f t="shared" si="2"/>
        <v>0</v>
      </c>
      <c r="I14" s="13">
        <f t="shared" si="3"/>
        <v>0</v>
      </c>
    </row>
    <row r="15" spans="2:9" x14ac:dyDescent="0.25">
      <c r="B15" s="9">
        <v>12</v>
      </c>
      <c r="C15" s="10">
        <f>'[23]Estimasi NPHR'!C15</f>
        <v>4271.8852578616352</v>
      </c>
      <c r="D15" s="11">
        <f>'[23]Estimasi NPHR'!D15</f>
        <v>0</v>
      </c>
      <c r="E15" s="12">
        <f>'[23]Coal Blend'!BV183</f>
        <v>0.35833333333333334</v>
      </c>
      <c r="F15" s="12">
        <f t="shared" si="0"/>
        <v>0.64166666666666661</v>
      </c>
      <c r="G15" s="13">
        <f t="shared" si="1"/>
        <v>0</v>
      </c>
      <c r="H15" s="13">
        <f t="shared" si="2"/>
        <v>0</v>
      </c>
      <c r="I15" s="13">
        <f t="shared" si="3"/>
        <v>0</v>
      </c>
    </row>
    <row r="16" spans="2:9" x14ac:dyDescent="0.25">
      <c r="B16" s="9">
        <v>13</v>
      </c>
      <c r="C16" s="10">
        <f>'[23]Estimasi NPHR'!C16</f>
        <v>4348.9388888888889</v>
      </c>
      <c r="D16" s="11">
        <f>'[23]Estimasi NPHR'!D16</f>
        <v>0</v>
      </c>
      <c r="E16" s="12">
        <f>'[23]Coal Blend'!BV199</f>
        <v>0.5</v>
      </c>
      <c r="F16" s="12">
        <f t="shared" si="0"/>
        <v>0.5</v>
      </c>
      <c r="G16" s="13">
        <f t="shared" si="1"/>
        <v>0</v>
      </c>
      <c r="H16" s="13">
        <f t="shared" si="2"/>
        <v>0</v>
      </c>
      <c r="I16" s="13">
        <f t="shared" si="3"/>
        <v>0</v>
      </c>
    </row>
    <row r="17" spans="2:9" x14ac:dyDescent="0.25">
      <c r="B17" s="9">
        <v>14</v>
      </c>
      <c r="C17" s="10">
        <f>'[23]Estimasi NPHR'!C17</f>
        <v>4317.5625</v>
      </c>
      <c r="D17" s="11">
        <f>'[23]Estimasi NPHR'!D17</f>
        <v>0</v>
      </c>
      <c r="E17" s="12">
        <f>'[23]Coal Blend'!BV215</f>
        <v>0.3666666666666667</v>
      </c>
      <c r="F17" s="12">
        <f t="shared" si="0"/>
        <v>0.6333333333333333</v>
      </c>
      <c r="G17" s="13">
        <f t="shared" si="1"/>
        <v>0</v>
      </c>
      <c r="H17" s="13">
        <f t="shared" si="2"/>
        <v>0</v>
      </c>
      <c r="I17" s="13">
        <f t="shared" si="3"/>
        <v>0</v>
      </c>
    </row>
    <row r="18" spans="2:9" x14ac:dyDescent="0.25">
      <c r="B18" s="9">
        <v>15</v>
      </c>
      <c r="C18" s="10">
        <f>'[23]Estimasi NPHR'!C18</f>
        <v>3754.1835748792269</v>
      </c>
      <c r="D18" s="11">
        <f>'[23]Estimasi NPHR'!D18</f>
        <v>0</v>
      </c>
      <c r="E18" s="12">
        <f>'[23]Coal Blend'!BV231</f>
        <v>0.3833333333333333</v>
      </c>
      <c r="F18" s="12">
        <f t="shared" si="0"/>
        <v>0.6166666666666667</v>
      </c>
      <c r="G18" s="13">
        <f t="shared" si="1"/>
        <v>0</v>
      </c>
      <c r="H18" s="13">
        <f t="shared" si="2"/>
        <v>0</v>
      </c>
      <c r="I18" s="13">
        <f t="shared" si="3"/>
        <v>0</v>
      </c>
    </row>
    <row r="19" spans="2:9" x14ac:dyDescent="0.25">
      <c r="B19" s="9">
        <v>16</v>
      </c>
      <c r="C19" s="10">
        <f>'[23]Estimasi NPHR'!C19</f>
        <v>4352.9523809523807</v>
      </c>
      <c r="D19" s="11">
        <f>'[23]Estimasi NPHR'!D19</f>
        <v>0</v>
      </c>
      <c r="E19" s="12">
        <f>'[23]Coal Blend'!BV247</f>
        <v>0.5</v>
      </c>
      <c r="F19" s="12">
        <f t="shared" si="0"/>
        <v>0.5</v>
      </c>
      <c r="G19" s="13">
        <f t="shared" si="1"/>
        <v>0</v>
      </c>
      <c r="H19" s="13">
        <f t="shared" si="2"/>
        <v>0</v>
      </c>
      <c r="I19" s="13">
        <f t="shared" si="3"/>
        <v>0</v>
      </c>
    </row>
    <row r="20" spans="2:9" x14ac:dyDescent="0.25">
      <c r="B20" s="9">
        <v>17</v>
      </c>
      <c r="C20" s="10">
        <f>'[23]Estimasi NPHR'!C20</f>
        <v>4250.8304600606671</v>
      </c>
      <c r="D20" s="11">
        <f>'[23]Estimasi NPHR'!D20</f>
        <v>0</v>
      </c>
      <c r="E20" s="12">
        <f>'[23]Coal Blend'!BV263</f>
        <v>0.23333333333333331</v>
      </c>
      <c r="F20" s="12">
        <f t="shared" si="0"/>
        <v>0.76666666666666672</v>
      </c>
      <c r="G20" s="13">
        <f t="shared" si="1"/>
        <v>0</v>
      </c>
      <c r="H20" s="13">
        <f t="shared" si="2"/>
        <v>0</v>
      </c>
      <c r="I20" s="13">
        <f t="shared" si="3"/>
        <v>0</v>
      </c>
    </row>
    <row r="21" spans="2:9" x14ac:dyDescent="0.25">
      <c r="B21" s="9">
        <v>18</v>
      </c>
      <c r="C21" s="10">
        <f>'[23]Estimasi NPHR'!C21</f>
        <v>4340.9440251572332</v>
      </c>
      <c r="D21" s="11">
        <f>'[23]Estimasi NPHR'!D21</f>
        <v>0</v>
      </c>
      <c r="E21" s="12">
        <f>'[23]Coal Blend'!BV279</f>
        <v>0.39999999999999997</v>
      </c>
      <c r="F21" s="12">
        <f t="shared" si="0"/>
        <v>0.60000000000000009</v>
      </c>
      <c r="G21" s="13">
        <f t="shared" si="1"/>
        <v>0</v>
      </c>
      <c r="H21" s="13">
        <f t="shared" si="2"/>
        <v>0</v>
      </c>
      <c r="I21" s="13">
        <f t="shared" si="3"/>
        <v>0</v>
      </c>
    </row>
    <row r="22" spans="2:9" x14ac:dyDescent="0.25">
      <c r="B22" s="9">
        <v>19</v>
      </c>
      <c r="C22" s="10">
        <f>'[23]Estimasi NPHR'!C22</f>
        <v>4274.3895632183912</v>
      </c>
      <c r="D22" s="11">
        <f>'[23]Estimasi NPHR'!D22</f>
        <v>0</v>
      </c>
      <c r="E22" s="12">
        <f>'[23]Coal Blend'!BV295</f>
        <v>0.3833333333333333</v>
      </c>
      <c r="F22" s="12">
        <f t="shared" si="0"/>
        <v>0.6166666666666667</v>
      </c>
      <c r="G22" s="13">
        <f t="shared" si="1"/>
        <v>0</v>
      </c>
      <c r="H22" s="13">
        <f t="shared" si="2"/>
        <v>0</v>
      </c>
      <c r="I22" s="13">
        <f t="shared" si="3"/>
        <v>0</v>
      </c>
    </row>
    <row r="23" spans="2:9" x14ac:dyDescent="0.25">
      <c r="B23" s="9">
        <v>20</v>
      </c>
      <c r="C23" s="10">
        <f>'[23]Estimasi NPHR'!C23</f>
        <v>4346.5641577380957</v>
      </c>
      <c r="D23" s="11">
        <f>'[23]Estimasi NPHR'!D23</f>
        <v>0</v>
      </c>
      <c r="E23" s="12">
        <f>'[23]Coal Blend'!BV311</f>
        <v>0.78333333333333333</v>
      </c>
      <c r="F23" s="12">
        <f t="shared" si="0"/>
        <v>0.21666666666666667</v>
      </c>
      <c r="G23" s="13">
        <f t="shared" si="1"/>
        <v>0</v>
      </c>
      <c r="H23" s="13">
        <f t="shared" si="2"/>
        <v>0</v>
      </c>
      <c r="I23" s="13">
        <f t="shared" si="3"/>
        <v>0</v>
      </c>
    </row>
    <row r="24" spans="2:9" x14ac:dyDescent="0.25">
      <c r="B24" s="9">
        <v>21</v>
      </c>
      <c r="C24" s="10">
        <f>'[23]Estimasi NPHR'!C24</f>
        <v>4454.5654520917678</v>
      </c>
      <c r="D24" s="11">
        <f>'[23]Estimasi NPHR'!D24</f>
        <v>0</v>
      </c>
      <c r="E24" s="12">
        <f>'[23]Coal Blend'!BV327</f>
        <v>0.41666666666666669</v>
      </c>
      <c r="F24" s="12">
        <f t="shared" si="0"/>
        <v>0.58333333333333326</v>
      </c>
      <c r="G24" s="13">
        <f t="shared" si="1"/>
        <v>0</v>
      </c>
      <c r="H24" s="13">
        <f t="shared" si="2"/>
        <v>0</v>
      </c>
      <c r="I24" s="13">
        <f t="shared" si="3"/>
        <v>0</v>
      </c>
    </row>
    <row r="25" spans="2:9" x14ac:dyDescent="0.25">
      <c r="B25" s="9">
        <v>22</v>
      </c>
      <c r="C25" s="10">
        <f>'[23]Estimasi NPHR'!C25</f>
        <v>4313.6111111111104</v>
      </c>
      <c r="D25" s="11">
        <f>'[23]Estimasi NPHR'!D25</f>
        <v>0</v>
      </c>
      <c r="E25" s="12">
        <f>'[23]Coal Blend'!BV343</f>
        <v>0.35000000000000003</v>
      </c>
      <c r="F25" s="12">
        <f t="shared" si="0"/>
        <v>0.64999999999999991</v>
      </c>
      <c r="G25" s="13">
        <f t="shared" si="1"/>
        <v>0</v>
      </c>
      <c r="H25" s="13">
        <f t="shared" si="2"/>
        <v>0</v>
      </c>
      <c r="I25" s="13">
        <f t="shared" si="3"/>
        <v>0</v>
      </c>
    </row>
    <row r="26" spans="2:9" x14ac:dyDescent="0.25">
      <c r="B26" s="9">
        <v>23</v>
      </c>
      <c r="C26" s="10">
        <f>'[23]Estimasi NPHR'!C26</f>
        <v>4407.0717459893049</v>
      </c>
      <c r="D26" s="11">
        <f>'[23]Estimasi NPHR'!D26</f>
        <v>0</v>
      </c>
      <c r="E26" s="12">
        <f>'[23]Coal Blend'!BV359</f>
        <v>0.41666666666666669</v>
      </c>
      <c r="F26" s="12">
        <f t="shared" si="0"/>
        <v>0.58333333333333326</v>
      </c>
      <c r="G26" s="13">
        <f t="shared" si="1"/>
        <v>0</v>
      </c>
      <c r="H26" s="13">
        <f t="shared" si="2"/>
        <v>0</v>
      </c>
      <c r="I26" s="13">
        <f t="shared" si="3"/>
        <v>0</v>
      </c>
    </row>
    <row r="27" spans="2:9" x14ac:dyDescent="0.25">
      <c r="B27" s="9">
        <v>24</v>
      </c>
      <c r="C27" s="10">
        <f>'[23]Estimasi NPHR'!C27</f>
        <v>4372.0752182072838</v>
      </c>
      <c r="D27" s="11">
        <f>'[23]Estimasi NPHR'!D27</f>
        <v>0</v>
      </c>
      <c r="E27" s="12">
        <f>'[23]Coal Blend'!BV375</f>
        <v>0.64166666666666672</v>
      </c>
      <c r="F27" s="12">
        <f t="shared" si="0"/>
        <v>0.35833333333333328</v>
      </c>
      <c r="G27" s="13">
        <f t="shared" si="1"/>
        <v>0</v>
      </c>
      <c r="H27" s="13">
        <f t="shared" si="2"/>
        <v>0</v>
      </c>
      <c r="I27" s="13">
        <f t="shared" si="3"/>
        <v>0</v>
      </c>
    </row>
    <row r="28" spans="2:9" x14ac:dyDescent="0.25">
      <c r="B28" s="9">
        <v>25</v>
      </c>
      <c r="C28" s="10">
        <f>'[23]Estimasi NPHR'!C28</f>
        <v>4202.090958164642</v>
      </c>
      <c r="D28" s="11">
        <f>'[23]Estimasi NPHR'!D28</f>
        <v>0</v>
      </c>
      <c r="E28" s="12">
        <f>'[23]Coal Blend'!BV391</f>
        <v>0.41666666666666669</v>
      </c>
      <c r="F28" s="12">
        <f t="shared" si="0"/>
        <v>0.58333333333333326</v>
      </c>
      <c r="G28" s="13">
        <f t="shared" si="1"/>
        <v>0</v>
      </c>
      <c r="H28" s="13">
        <f t="shared" si="2"/>
        <v>0</v>
      </c>
      <c r="I28" s="13">
        <f t="shared" si="3"/>
        <v>0</v>
      </c>
    </row>
    <row r="29" spans="2:9" x14ac:dyDescent="0.25">
      <c r="B29" s="9">
        <v>26</v>
      </c>
      <c r="C29" s="10">
        <f>'[23]Estimasi NPHR'!C29</f>
        <v>4320.6648148148151</v>
      </c>
      <c r="D29" s="11">
        <f>'[23]Estimasi NPHR'!D29</f>
        <v>0</v>
      </c>
      <c r="E29" s="12">
        <f>'[23]Coal Blend'!BV407</f>
        <v>0.45</v>
      </c>
      <c r="F29" s="12">
        <f t="shared" si="0"/>
        <v>0.55000000000000004</v>
      </c>
      <c r="G29" s="13">
        <f t="shared" si="1"/>
        <v>0</v>
      </c>
      <c r="H29" s="13">
        <f t="shared" si="2"/>
        <v>0</v>
      </c>
      <c r="I29" s="13">
        <f t="shared" si="3"/>
        <v>0</v>
      </c>
    </row>
    <row r="30" spans="2:9" x14ac:dyDescent="0.25">
      <c r="B30" s="9">
        <v>27</v>
      </c>
      <c r="C30" s="10">
        <f>'[23]Estimasi NPHR'!C30</f>
        <v>4390.1629629629633</v>
      </c>
      <c r="D30" s="11">
        <f>'[23]Estimasi NPHR'!D30</f>
        <v>0</v>
      </c>
      <c r="E30" s="12">
        <f>'[23]Coal Blend'!BV423</f>
        <v>0.3833333333333333</v>
      </c>
      <c r="F30" s="12">
        <f t="shared" si="0"/>
        <v>0.6166666666666667</v>
      </c>
      <c r="G30" s="13">
        <f t="shared" si="1"/>
        <v>0</v>
      </c>
      <c r="H30" s="13">
        <f t="shared" si="2"/>
        <v>0</v>
      </c>
      <c r="I30" s="13">
        <f t="shared" si="3"/>
        <v>0</v>
      </c>
    </row>
    <row r="31" spans="2:9" x14ac:dyDescent="0.25">
      <c r="B31" s="9">
        <v>28</v>
      </c>
      <c r="C31" s="10">
        <f>'[23]Estimasi NPHR'!C31</f>
        <v>4457.8654244306417</v>
      </c>
      <c r="D31" s="11">
        <f>'[23]Estimasi NPHR'!D31</f>
        <v>0</v>
      </c>
      <c r="E31" s="12">
        <f>'[23]Coal Blend'!BV439</f>
        <v>0.33333333333333331</v>
      </c>
      <c r="F31" s="12">
        <f t="shared" si="0"/>
        <v>0.66666666666666674</v>
      </c>
      <c r="G31" s="13">
        <f t="shared" si="1"/>
        <v>0</v>
      </c>
      <c r="H31" s="13">
        <f t="shared" si="2"/>
        <v>0</v>
      </c>
      <c r="I31" s="13">
        <f t="shared" si="3"/>
        <v>0</v>
      </c>
    </row>
    <row r="32" spans="2:9" x14ac:dyDescent="0.25">
      <c r="B32" s="9">
        <v>29</v>
      </c>
      <c r="C32" s="10">
        <f>'[23]Estimasi NPHR'!C32</f>
        <v>4533.0072727272736</v>
      </c>
      <c r="D32" s="11">
        <f>'[23]Estimasi NPHR'!D32</f>
        <v>0</v>
      </c>
      <c r="E32" s="12">
        <f>'[23]Coal Blend'!BV455</f>
        <v>0.3</v>
      </c>
      <c r="F32" s="12">
        <f t="shared" si="0"/>
        <v>0.7</v>
      </c>
      <c r="G32" s="13">
        <f t="shared" si="1"/>
        <v>0</v>
      </c>
      <c r="H32" s="13">
        <f t="shared" si="2"/>
        <v>0</v>
      </c>
      <c r="I32" s="13">
        <f t="shared" si="3"/>
        <v>0</v>
      </c>
    </row>
    <row r="33" spans="2:9" ht="15.75" thickBot="1" x14ac:dyDescent="0.3">
      <c r="B33" s="9">
        <v>30</v>
      </c>
      <c r="C33" s="10">
        <f>'[23]Estimasi NPHR'!C33</f>
        <v>4334.938405797101</v>
      </c>
      <c r="D33" s="11">
        <f>'[23]Estimasi NPHR'!D33</f>
        <v>0</v>
      </c>
      <c r="E33" s="12">
        <f>'[23]Coal Blend'!BV471</f>
        <v>0.33333333333333331</v>
      </c>
      <c r="F33" s="12">
        <f t="shared" si="0"/>
        <v>0.66666666666666674</v>
      </c>
      <c r="G33" s="13">
        <f t="shared" si="1"/>
        <v>0</v>
      </c>
      <c r="H33" s="13">
        <f t="shared" si="2"/>
        <v>0</v>
      </c>
      <c r="I33" s="13">
        <f t="shared" si="3"/>
        <v>0</v>
      </c>
    </row>
    <row r="34" spans="2:9" ht="15.75" thickBot="1" x14ac:dyDescent="0.3">
      <c r="B34" s="14"/>
      <c r="C34" s="15">
        <f>IF(D34=0,0,I34/D34)</f>
        <v>0</v>
      </c>
      <c r="D34" s="16">
        <f>SUM(D4:D33)</f>
        <v>0</v>
      </c>
      <c r="E34" s="16"/>
      <c r="F34" s="16"/>
      <c r="G34" s="16">
        <f>SUM(G4:G33)</f>
        <v>0</v>
      </c>
      <c r="H34" s="16">
        <f>SUM(H4:H33)</f>
        <v>0</v>
      </c>
      <c r="I34" s="17">
        <f>SUM(I4:I33)</f>
        <v>0</v>
      </c>
    </row>
    <row r="35" spans="2:9" x14ac:dyDescent="0.25">
      <c r="D35" s="18">
        <f>MAX(D4:D33)</f>
        <v>0</v>
      </c>
    </row>
  </sheetData>
  <mergeCells count="2">
    <mergeCell ref="B2:B3"/>
    <mergeCell ref="C2:I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coal blend jan 25</vt:lpstr>
      <vt:lpstr>coal blend feb 25</vt:lpstr>
      <vt:lpstr>coal blend mar 25</vt:lpstr>
      <vt:lpstr>coal blend apr 25</vt:lpstr>
      <vt:lpstr>coal blend mei 25</vt:lpstr>
      <vt:lpstr>coal blend juni 25</vt:lpstr>
      <vt:lpstr>coal blend juli 25</vt:lpstr>
      <vt:lpstr>coal blend agustus 25</vt:lpstr>
      <vt:lpstr>coal blend sept 25</vt:lpstr>
      <vt:lpstr>coal blend okt 25</vt:lpstr>
      <vt:lpstr>coal blend nov 25</vt:lpstr>
      <vt:lpstr>coal blend des 25</vt:lpstr>
      <vt:lpstr>coal blend jan 26</vt:lpstr>
      <vt:lpstr>coal blend feb 26</vt:lpstr>
      <vt:lpstr>coal blend mar 26</vt:lpstr>
      <vt:lpstr>coal blend april 26</vt:lpstr>
      <vt:lpstr>coal blend mei 26</vt:lpstr>
      <vt:lpstr>coal blend juni 26</vt:lpstr>
      <vt:lpstr>coal blend juli 26</vt:lpstr>
      <vt:lpstr>coal blend agustus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 Kurniawan</dc:creator>
  <cp:lastModifiedBy>Agus Kurniawan</cp:lastModifiedBy>
  <dcterms:created xsi:type="dcterms:W3CDTF">2026-09-16T09:18:53Z</dcterms:created>
  <dcterms:modified xsi:type="dcterms:W3CDTF">2026-09-16T09:32:13Z</dcterms:modified>
</cp:coreProperties>
</file>